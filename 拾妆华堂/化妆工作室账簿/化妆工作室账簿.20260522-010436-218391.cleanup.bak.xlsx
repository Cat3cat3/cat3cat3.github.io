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660" windowHeight="11600"/>
  </bookViews>
  <sheets>
    <sheet name="收支财务报表" sheetId="1" r:id="rId1"/>
    <sheet name="现金流量表" sheetId="2" r:id="rId2"/>
    <sheet name="月度预算" sheetId="3" r:id="rId3"/>
    <sheet name="利润表" sheetId="4" r:id="rId4"/>
    <sheet name="收入" sheetId="5" r:id="rId5"/>
    <sheet name="成本" sheetId="6" r:id="rId6"/>
    <sheet name="支出" sheetId="7" r:id="rId7"/>
    <sheet name="固定资产记录" sheetId="8" r:id="rId8"/>
    <sheet name="资产负债表" sheetId="9" r:id="rId9"/>
    <sheet name="年同比图表" sheetId="10" r:id="rId10"/>
    <sheet name="总汇概览" sheetId="11" r:id="rId11"/>
    <sheet name="待确认" sheetId="12" r:id="rId12"/>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D27" authorId="0">
      <text>
        <r>
          <rPr>
            <sz val="10"/>
            <rFont val="宋体"/>
            <charset val="134"/>
          </rPr>
          <t>作者:
打车退款62.54
出差北京</t>
        </r>
      </text>
    </comment>
    <comment ref="D31" authorId="0">
      <text>
        <r>
          <rPr>
            <sz val="10"/>
            <rFont val="宋体"/>
            <charset val="134"/>
          </rPr>
          <t>作者:
捡手机感谢费退款200</t>
        </r>
      </text>
    </comment>
  </commentList>
</comments>
</file>

<file path=xl/sharedStrings.xml><?xml version="1.0" encoding="utf-8"?>
<sst xmlns="http://schemas.openxmlformats.org/spreadsheetml/2006/main" count="803" uniqueCount="423">
  <si>
    <t>收支财务报表</t>
  </si>
  <si>
    <t>序号</t>
  </si>
  <si>
    <t>日期</t>
  </si>
  <si>
    <t>收入</t>
  </si>
  <si>
    <t>支出</t>
  </si>
  <si>
    <t>备注</t>
  </si>
  <si>
    <t>摘要</t>
  </si>
  <si>
    <t>类型</t>
  </si>
  <si>
    <t>金额</t>
  </si>
  <si>
    <t>吴文凯投入</t>
  </si>
  <si>
    <t>贷款/其他现金投入</t>
  </si>
  <si>
    <t>米白铝箔底真防潮贴纸60cmx12m</t>
  </si>
  <si>
    <t>装修</t>
  </si>
  <si>
    <t>https://mobile.yangkeduo.com/goods2.html?ps=pSymVeNXNe</t>
  </si>
  <si>
    <t>浅蓝铝箔底真防潮贴纸60cmx12m</t>
  </si>
  <si>
    <t>https://mobile.yangkeduo.com/goods2.html?ps=JwqxaYnoXC</t>
  </si>
  <si>
    <t>收入金额</t>
  </si>
  <si>
    <t>顶天立地衣架
加高3.6m\加粗38管径5立8横</t>
  </si>
  <si>
    <t>https://mobile.yangkeduo.com/goods.html?ps=50D9qeUJ2m</t>
  </si>
  <si>
    <t>小熊板毛毡墙
120*180</t>
  </si>
  <si>
    <t>支出金额</t>
  </si>
  <si>
    <t>免打孔安装窗帘杆
   白色2.68-3.18m</t>
  </si>
  <si>
    <t>https://mobile.yangkeduo.com/goods.html?ps=CnJSzRfray</t>
  </si>
  <si>
    <t>免打孔安装窗帘杆
   白色3.18-3.68m</t>
  </si>
  <si>
    <t>结余金额</t>
  </si>
  <si>
    <t>pq化妆私教课</t>
  </si>
  <si>
    <t>化妆课</t>
  </si>
  <si>
    <t>萱萱抽成</t>
  </si>
  <si>
    <t>酬劳</t>
  </si>
  <si>
    <t>工作室成立之前客户</t>
  </si>
  <si>
    <t>按起止日期查询&gt;&gt;</t>
  </si>
  <si>
    <t>开始日期</t>
  </si>
  <si>
    <t>结束日期</t>
  </si>
  <si>
    <t>现金流量表</t>
  </si>
  <si>
    <t>会计年度起始于:</t>
  </si>
  <si>
    <t>（预）启动</t>
  </si>
  <si>
    <t>总计</t>
  </si>
  <si>
    <t>EST</t>
  </si>
  <si>
    <t>项目 EST</t>
  </si>
  <si>
    <t>库存现金 (月初)</t>
  </si>
  <si>
    <t>银行卡收入</t>
  </si>
  <si>
    <t>薪酬</t>
  </si>
  <si>
    <t>报销</t>
  </si>
  <si>
    <t>资金周转</t>
  </si>
  <si>
    <t>退款</t>
  </si>
  <si>
    <t>投资收益</t>
  </si>
  <si>
    <t>总可用现金（现金支出前）</t>
  </si>
  <si>
    <t>投资</t>
  </si>
  <si>
    <t>购买基金</t>
  </si>
  <si>
    <t>即时高风险投资</t>
  </si>
  <si>
    <t>其他启动费用</t>
  </si>
  <si>
    <t>保留或由第三人保存</t>
  </si>
  <si>
    <t>所有者提款</t>
  </si>
  <si>
    <t>弹性支出</t>
  </si>
  <si>
    <t>汽车，运输及差旅费用</t>
  </si>
  <si>
    <t>信用卡</t>
  </si>
  <si>
    <t>餐饮</t>
  </si>
  <si>
    <t>红包</t>
  </si>
  <si>
    <t>购物</t>
  </si>
  <si>
    <t>服饰美容</t>
  </si>
  <si>
    <t>文体教育</t>
  </si>
  <si>
    <t>休闲娱乐</t>
  </si>
  <si>
    <t/>
  </si>
  <si>
    <t>生活用品</t>
  </si>
  <si>
    <t>宠物</t>
  </si>
  <si>
    <t>充电宝</t>
  </si>
  <si>
    <t>护肤化妆品</t>
  </si>
  <si>
    <t>电话费</t>
  </si>
  <si>
    <t>水电费和采暖费</t>
  </si>
  <si>
    <t>保险费</t>
  </si>
  <si>
    <t>利息</t>
  </si>
  <si>
    <t>杂项</t>
  </si>
  <si>
    <t>固定支出</t>
  </si>
  <si>
    <t>宽带</t>
  </si>
  <si>
    <t>电话</t>
  </si>
  <si>
    <t>车险</t>
  </si>
  <si>
    <t>现金支付（无损益）</t>
  </si>
  <si>
    <t>贷款本金支付</t>
  </si>
  <si>
    <t>资本购买（请指定）</t>
  </si>
  <si>
    <t>总现金支付</t>
  </si>
  <si>
    <t>现金头寸 (月末)</t>
  </si>
  <si>
    <t>月度预算</t>
  </si>
  <si>
    <t>预计月收入</t>
  </si>
  <si>
    <t>预计结余
（预计收入减预计支出）</t>
  </si>
  <si>
    <t>fgtr6</t>
  </si>
  <si>
    <t>收入 1</t>
  </si>
  <si>
    <t>额外收入</t>
  </si>
  <si>
    <t>实际余额
（实际收入减实际支出）</t>
  </si>
  <si>
    <t>月总收入</t>
  </si>
  <si>
    <t>差额
（实际值减预计值）</t>
  </si>
  <si>
    <t>实际月收入</t>
  </si>
  <si>
    <t>每月总收入</t>
  </si>
  <si>
    <t>住房</t>
  </si>
  <si>
    <t>娱乐</t>
  </si>
  <si>
    <t>0</t>
  </si>
  <si>
    <t>预计
费用</t>
  </si>
  <si>
    <t>实际
费用</t>
  </si>
  <si>
    <t>差额</t>
  </si>
  <si>
    <t>抵押贷款或租金</t>
  </si>
  <si>
    <t>视频/DVD</t>
  </si>
  <si>
    <t>CD</t>
  </si>
  <si>
    <t>电费</t>
  </si>
  <si>
    <t>电影</t>
  </si>
  <si>
    <t>燃气</t>
  </si>
  <si>
    <t>音乐会</t>
  </si>
  <si>
    <t>用水和排污</t>
  </si>
  <si>
    <t>体育活动</t>
  </si>
  <si>
    <t>有线电视费</t>
  </si>
  <si>
    <t>现场</t>
  </si>
  <si>
    <t>垃圾处理</t>
  </si>
  <si>
    <t>其他</t>
  </si>
  <si>
    <t>保养或修理</t>
  </si>
  <si>
    <t>日用品</t>
  </si>
  <si>
    <t>小计</t>
  </si>
  <si>
    <t>交通</t>
  </si>
  <si>
    <t>贷款</t>
  </si>
  <si>
    <t>汽车还款</t>
  </si>
  <si>
    <t>个人</t>
  </si>
  <si>
    <t>公交/出租车费</t>
  </si>
  <si>
    <t>学生</t>
  </si>
  <si>
    <t>保险</t>
  </si>
  <si>
    <t>牌照</t>
  </si>
  <si>
    <t>燃油</t>
  </si>
  <si>
    <t>维护</t>
  </si>
  <si>
    <t>税款</t>
  </si>
  <si>
    <t>住宅</t>
  </si>
  <si>
    <t>国税</t>
  </si>
  <si>
    <t>健康</t>
  </si>
  <si>
    <t>省/市/自治区税</t>
  </si>
  <si>
    <t>人寿</t>
  </si>
  <si>
    <t>地税</t>
  </si>
  <si>
    <t>食品</t>
  </si>
  <si>
    <t>存款或投资</t>
  </si>
  <si>
    <t>日用杂货</t>
  </si>
  <si>
    <t>养老金帐户</t>
  </si>
  <si>
    <t>外出就餐</t>
  </si>
  <si>
    <t>投资帐户</t>
  </si>
  <si>
    <t>礼品和捐赠</t>
  </si>
  <si>
    <t>慈善 1</t>
  </si>
  <si>
    <t>医疗</t>
  </si>
  <si>
    <t>慈善 2</t>
  </si>
  <si>
    <t>美容</t>
  </si>
  <si>
    <t>慈善 3</t>
  </si>
  <si>
    <t>玩具</t>
  </si>
  <si>
    <t>个人护理</t>
  </si>
  <si>
    <t>法务</t>
  </si>
  <si>
    <t>律师</t>
  </si>
  <si>
    <t>美发/美甲</t>
  </si>
  <si>
    <t>赡养费</t>
  </si>
  <si>
    <t>服装</t>
  </si>
  <si>
    <t>抵押或判决付款</t>
  </si>
  <si>
    <t>干洗</t>
  </si>
  <si>
    <t>健康俱乐部</t>
  </si>
  <si>
    <t>组织费</t>
  </si>
  <si>
    <t>预计总支出</t>
  </si>
  <si>
    <t>实际总支出</t>
  </si>
  <si>
    <t>总差额</t>
  </si>
  <si>
    <t>2026化妆工作室</t>
  </si>
  <si>
    <t>Contoso 利润表</t>
  </si>
  <si>
    <t>销售总额</t>
  </si>
  <si>
    <t xml:space="preserve">减： </t>
  </si>
  <si>
    <t>退货和折让</t>
  </si>
  <si>
    <t>净销售额</t>
  </si>
  <si>
    <t>所售商品成本</t>
  </si>
  <si>
    <t>期初库存</t>
  </si>
  <si>
    <t>加：</t>
  </si>
  <si>
    <t>购买</t>
  </si>
  <si>
    <t>直接人工费</t>
  </si>
  <si>
    <t>间接费用</t>
  </si>
  <si>
    <t>可用库存</t>
  </si>
  <si>
    <t>减：</t>
  </si>
  <si>
    <t>期末库存</t>
  </si>
  <si>
    <t>总利润（损失）</t>
  </si>
  <si>
    <t>租金</t>
  </si>
  <si>
    <t>分期还款</t>
  </si>
  <si>
    <t>水电费</t>
  </si>
  <si>
    <t>工资和直接成本</t>
  </si>
  <si>
    <t>佣金</t>
  </si>
  <si>
    <t>市场营销</t>
  </si>
  <si>
    <t>物流</t>
  </si>
  <si>
    <t>修理和维护</t>
  </si>
  <si>
    <t>折旧</t>
  </si>
  <si>
    <t>费用总计</t>
  </si>
  <si>
    <t>净营业收入</t>
  </si>
  <si>
    <t>其他收入</t>
  </si>
  <si>
    <t>资产销售的收益（损失）</t>
  </si>
  <si>
    <t>利息收益</t>
  </si>
  <si>
    <t>其他收入总额</t>
  </si>
  <si>
    <t>净收入（损失）</t>
  </si>
  <si>
    <t>化妆工作室</t>
  </si>
  <si>
    <t>损益预测</t>
  </si>
  <si>
    <t>趋势</t>
  </si>
  <si>
    <t>1 月</t>
  </si>
  <si>
    <t>2 月</t>
  </si>
  <si>
    <t>3 月</t>
  </si>
  <si>
    <t>4 月</t>
  </si>
  <si>
    <t>5 月</t>
  </si>
  <si>
    <t>6 月</t>
  </si>
  <si>
    <t>7 月</t>
  </si>
  <si>
    <t>8 月</t>
  </si>
  <si>
    <t>9 月</t>
  </si>
  <si>
    <t>10 月</t>
  </si>
  <si>
    <t>11 月</t>
  </si>
  <si>
    <t>12 月</t>
  </si>
  <si>
    <t>年度</t>
  </si>
  <si>
    <t>行业百分比</t>
  </si>
  <si>
    <t>1 月 %</t>
  </si>
  <si>
    <t>2 月 %</t>
  </si>
  <si>
    <t>3 月 %</t>
  </si>
  <si>
    <t>4 月 %</t>
  </si>
  <si>
    <t>5 月 %</t>
  </si>
  <si>
    <t>6 月 %</t>
  </si>
  <si>
    <t>7 月 %</t>
  </si>
  <si>
    <t>8 月 %</t>
  </si>
  <si>
    <t>9 月 %</t>
  </si>
  <si>
    <t>10 月 %</t>
  </si>
  <si>
    <t>11 月 %</t>
  </si>
  <si>
    <t>12 月 %</t>
  </si>
  <si>
    <t>年度 %</t>
  </si>
  <si>
    <t>收入 2</t>
  </si>
  <si>
    <t>收入 3</t>
  </si>
  <si>
    <t>收入 4</t>
  </si>
  <si>
    <t>收入 5</t>
  </si>
  <si>
    <t>收入 6</t>
  </si>
  <si>
    <t>收入 7</t>
  </si>
  <si>
    <t>总销售额</t>
  </si>
  <si>
    <t>成本</t>
  </si>
  <si>
    <t>指数 %</t>
  </si>
  <si>
    <t>购买费用</t>
  </si>
  <si>
    <t>退货</t>
  </si>
  <si>
    <t>初期库存</t>
  </si>
  <si>
    <t>销售总成本</t>
  </si>
  <si>
    <t>毛利润</t>
  </si>
  <si>
    <t>费用</t>
  </si>
  <si>
    <t xml:space="preserve">工资支出 </t>
  </si>
  <si>
    <t xml:space="preserve">薪金支出 </t>
  </si>
  <si>
    <t>外部服务</t>
  </si>
  <si>
    <t>补给（办公室和运营）</t>
  </si>
  <si>
    <t>广告</t>
  </si>
  <si>
    <t>汽车、送货和旅行</t>
  </si>
  <si>
    <t>会计和法律</t>
  </si>
  <si>
    <t>税款（房地产等）</t>
  </si>
  <si>
    <t>其他费用（指定）</t>
  </si>
  <si>
    <t>杂项（未指定）</t>
  </si>
  <si>
    <t>净利润</t>
  </si>
  <si>
    <t>包含双倍递减折旧计算的固定资产记录</t>
  </si>
  <si>
    <t>资产名称</t>
  </si>
  <si>
    <t>资产类别</t>
  </si>
  <si>
    <t>描述</t>
  </si>
  <si>
    <t>图片</t>
  </si>
  <si>
    <t>成片</t>
  </si>
  <si>
    <t>序列号</t>
  </si>
  <si>
    <t>购进日期</t>
  </si>
  <si>
    <t>购进价格</t>
  </si>
  <si>
    <t>估计使用寿命（年）</t>
  </si>
  <si>
    <t>估计折旧残值</t>
  </si>
  <si>
    <t>折旧年限</t>
  </si>
  <si>
    <t>估计双倍递减折旧值</t>
  </si>
  <si>
    <t>香染衣罗原创【隆客吟】紫色印花衫子三裥裙蓝色齐胸裙汉服套装</t>
  </si>
  <si>
    <t>汉服</t>
  </si>
  <si>
    <t>天水葡萄酒厂行政办公楼</t>
  </si>
  <si>
    <t>无</t>
  </si>
  <si>
    <t>行政办公楼服务器</t>
  </si>
  <si>
    <t>机械和设备</t>
  </si>
  <si>
    <t>用于存储公司文件的服务器</t>
  </si>
  <si>
    <t>行政办公楼 4 层</t>
  </si>
  <si>
    <t>14</t>
  </si>
  <si>
    <t>4463-22A</t>
  </si>
  <si>
    <t>包含固定递减折旧计算的固定资产记录</t>
  </si>
  <si>
    <t>物理位置</t>
  </si>
  <si>
    <t>资产编号</t>
  </si>
  <si>
    <t>估计固定递减折旧值</t>
  </si>
  <si>
    <t>行政办公楼</t>
  </si>
  <si>
    <t>建筑物</t>
  </si>
  <si>
    <t>幸福大街 123 号</t>
  </si>
  <si>
    <t>包含直线折旧计算的固定资产记录</t>
  </si>
  <si>
    <t>估计直线折旧值</t>
  </si>
  <si>
    <t>20</t>
  </si>
  <si>
    <t>在此工作表中创建资产负债表。此列的单元格中显示有关如何使用此工作表的有用说明。向下移动箭头以开始了解。</t>
  </si>
  <si>
    <t>资产负责表</t>
  </si>
  <si>
    <t>在右侧单元格中输入公司名称。此工作表的标题位于单元格 D1 中。下一条指示位于单元格 A4 中。</t>
  </si>
  <si>
    <t>资产标签位于右侧单元格中。</t>
  </si>
  <si>
    <t>资产</t>
  </si>
  <si>
    <t>从右侧单元格开始，在“流动资产”表格中输入详细信息。下一条说明位于单元格 A14 中。</t>
  </si>
  <si>
    <t>流动资产：</t>
  </si>
  <si>
    <t>上一年度</t>
  </si>
  <si>
    <t>1月</t>
  </si>
  <si>
    <t>2月</t>
  </si>
  <si>
    <t>3月</t>
  </si>
  <si>
    <t>4月</t>
  </si>
  <si>
    <t>5月</t>
  </si>
  <si>
    <t>6月</t>
  </si>
  <si>
    <t>7月</t>
  </si>
  <si>
    <t>8月</t>
  </si>
  <si>
    <t>9月</t>
  </si>
  <si>
    <t>10月</t>
  </si>
  <si>
    <t>11月</t>
  </si>
  <si>
    <t>12月</t>
  </si>
  <si>
    <t>现金</t>
  </si>
  <si>
    <t>库存</t>
  </si>
  <si>
    <t>应收帐款</t>
  </si>
  <si>
    <t>预付费用</t>
  </si>
  <si>
    <t>流动资产总额</t>
  </si>
  <si>
    <t>从右侧单元格开始，在“固定资产”表格中输入详细信息。下一条说明位于单元格 A21 中。</t>
  </si>
  <si>
    <t>固定资产：</t>
  </si>
  <si>
    <t>财产和设备</t>
  </si>
  <si>
    <t>租赁权益改良</t>
  </si>
  <si>
    <t>所有者权益及其他投资</t>
  </si>
  <si>
    <t>减去累计折旧</t>
  </si>
  <si>
    <t>固定资产总额</t>
  </si>
  <si>
    <t>从右侧单元格开始，在“其他资产”表格中输入详细信息。下一条说明位于单元格 A25 中。</t>
  </si>
  <si>
    <t>其他资产：</t>
  </si>
  <si>
    <t>商誉</t>
  </si>
  <si>
    <t>其他资产总额</t>
  </si>
  <si>
    <t>单元格 C25 中自动计算上一年度的资产总额，单元格 D25 中自动计算当前年度的资产总额。下一条说明位于单元格 A27 中。</t>
  </si>
  <si>
    <t>资产总额</t>
  </si>
  <si>
    <t>负债和所有者权益标签位于右侧单元格中。</t>
  </si>
  <si>
    <t>负债和所有者权益</t>
  </si>
  <si>
    <t>从右侧单元格开始，在“流动负债”表格中输入详细信息。下一条指示位于单元格 A37 中。</t>
  </si>
  <si>
    <t>流动负债：</t>
  </si>
  <si>
    <t>应付帐款</t>
  </si>
  <si>
    <t>应付工资</t>
  </si>
  <si>
    <t>应付薪酬</t>
  </si>
  <si>
    <t>应付所得税</t>
  </si>
  <si>
    <t>预收收入</t>
  </si>
  <si>
    <t>流动负债总额</t>
  </si>
  <si>
    <t>从右侧单元格开始，在“长期负债”表格中输入详细信息。下一条说明位于单元格 A41 中。</t>
  </si>
  <si>
    <t>长期负债：</t>
  </si>
  <si>
    <t>应付抵押款</t>
  </si>
  <si>
    <t>长期负债总额</t>
  </si>
  <si>
    <t>从右侧单元格开始，在“所有者权益”表格中输入详细信息。下一条指示位于单元格 A46 中。</t>
  </si>
  <si>
    <t>所有者权益：</t>
  </si>
  <si>
    <t>投资资本</t>
  </si>
  <si>
    <t>累计留存收益</t>
  </si>
  <si>
    <t>所有者权益总额</t>
  </si>
  <si>
    <t>单元格 C46 中自动计算上一年度的负债和所有者权益总额，单元格 D46 中自动计算当前年度的负债和所有者权益总额。下一条指示位于单元格 A49 中。</t>
  </si>
  <si>
    <t>负债和所有者权益总额</t>
  </si>
  <si>
    <t>单元格 C49 中自动计算上一年度的余额，单元格 D49 中自动计算当前年度的余额。</t>
  </si>
  <si>
    <t>余额</t>
  </si>
  <si>
    <t>平台</t>
  </si>
  <si>
    <t>分类</t>
  </si>
  <si>
    <t>来源文件</t>
  </si>
  <si>
    <t>置信度</t>
  </si>
  <si>
    <t>确认状态</t>
  </si>
  <si>
    <t>来源冲突</t>
  </si>
  <si>
    <t>记录ID</t>
  </si>
  <si>
    <t>处理批次</t>
  </si>
  <si>
    <t>原始文本</t>
  </si>
  <si>
    <t>2026-04-08</t>
  </si>
  <si>
    <t>Taobao</t>
  </si>
  <si>
    <t>汉服内搭及配饰采购</t>
  </si>
  <si>
    <t>账单截图/IMG_7834.PNG, 账单截图/IMG_7835.PNG</t>
  </si>
  <si>
    <t>中</t>
  </si>
  <si>
    <t>截图为同一订单的上下部分，疑似拍摄服装/配饰采购。</t>
  </si>
  <si>
    <t>确认</t>
  </si>
  <si>
    <t>同一订单分成两张截图</t>
  </si>
  <si>
    <t>829434e5478d915e</t>
  </si>
  <si>
    <t>2026-05-22-agent-clean</t>
  </si>
  <si>
    <t>惜物国风汉服相关商品 合计 592.9 付款时间 2026-04-08 11:49:32</t>
  </si>
  <si>
    <t>2026-04-18</t>
  </si>
  <si>
    <t>汉服套装采购</t>
  </si>
  <si>
    <t>账单截图/IMG_7833.PNG</t>
  </si>
  <si>
    <t>疑似拍摄服装/道具采购，业务相关性需人工确认。</t>
  </si>
  <si>
    <t>4ffc12567521de8d</t>
  </si>
  <si>
    <t>华姿仪赏贵妃云裳唐风诃子裙亮片刺绣大袖衫汉服儒裙 合计 576 付款时间 2026-04-18 13:19:45</t>
  </si>
  <si>
    <t>2026-04-23</t>
  </si>
  <si>
    <t>WeChat</t>
  </si>
  <si>
    <t>停车月卡</t>
  </si>
  <si>
    <t>账单截图/IMG_7828.PNG</t>
  </si>
  <si>
    <t>高</t>
  </si>
  <si>
    <t>汇泊停车月卡。</t>
  </si>
  <si>
    <t>65a874be0694d0be</t>
  </si>
  <si>
    <t>皇龙成都分公司 -700.00 支付时间 2026年4月23日08:12:49 商品 成都东恒国际大厦汇泊停车月卡_web</t>
  </si>
  <si>
    <t>2026-04-29</t>
  </si>
  <si>
    <t>工作室衣杆衣架</t>
  </si>
  <si>
    <t>账单截图/IMG_7827.PNG</t>
  </si>
  <si>
    <t>截图含明确转账说明。</t>
  </si>
  <si>
    <t>fa4e9b85d3497aa6</t>
  </si>
  <si>
    <t>账单 转账-转给爱吃DQ的仓鼠 -44.60 转账说明 工作室衣杆衣架 转账时间 2026年4月29日14:12:03</t>
  </si>
  <si>
    <t>2026-05-02</t>
  </si>
  <si>
    <t>工作室资产转移</t>
  </si>
  <si>
    <t>转账给爱吃DQ的仓鼠</t>
  </si>
  <si>
    <t>账单截图/IMG_7826.PNG</t>
  </si>
  <si>
    <t>金额较大，但截图未注明用途。</t>
  </si>
  <si>
    <t>ede7f9a0d19028ba</t>
  </si>
  <si>
    <t>账单 转账-转给爱吃DQ的仓鼠 -10000.00 转账时间 2026年5月2日17:02:05 收款时间 2026年5月2日17:04:36</t>
  </si>
  <si>
    <t>2026-05-13</t>
  </si>
  <si>
    <t>Tmall</t>
  </si>
  <si>
    <t>直播桌/展示桌</t>
  </si>
  <si>
    <t>账单截图/IMG_7831.PNG, 账单截图/IMG_7832.PNG</t>
  </si>
  <si>
    <t>两张截图对应同一订单，付款时间以详情页为准。</t>
  </si>
  <si>
    <t>同一订单有两张截图</t>
  </si>
  <si>
    <t>a187c3240f15bf7b</t>
  </si>
  <si>
    <t>直播桌子主播用专用带货台式家用电脑电竞游戏桌网红展示桌工作台 实付款 404 付款时间 2026-05-13 18:02:31</t>
  </si>
  <si>
    <t>2026-05-16</t>
  </si>
  <si>
    <t>工作室化妆品转账</t>
  </si>
  <si>
    <t>账单截图/IMG_7824.PNG, 账单截图/IMG_7825.PNG</t>
  </si>
  <si>
    <t>聊天截图与账单截图互相印证，疑似工作室化妆品采购。</t>
  </si>
  <si>
    <t>聊天截图与账单截图为同笔或相关记录</t>
  </si>
  <si>
    <t>c800724e138e3eb8</t>
  </si>
  <si>
    <t>转账-转给爱吃DQ的仓鼠 -577.83 转账说明 工作室化妆品 转账时间 2026年5月16日14:56:18</t>
  </si>
  <si>
    <t>账单截图/IMG_7824.PNG</t>
  </si>
  <si>
    <t>低</t>
  </si>
  <si>
    <t>仅见聊天截图中的已收款气泡，未见完整账单页。</t>
  </si>
  <si>
    <t>缺少独立账单截图</t>
  </si>
  <si>
    <t>5e17c81c81ffba75</t>
  </si>
  <si>
    <t>聊天截图显示 ￥696.00 已收款 转账 工作室化妆品</t>
  </si>
  <si>
    <t>化妆镜/直播镜 3 件</t>
  </si>
  <si>
    <t>账单截图/IMG_7829.PNG</t>
  </si>
  <si>
    <t>截图显示实付款 825 元。</t>
  </si>
  <si>
    <t>7f375e19b41c13d9</t>
  </si>
  <si>
    <t>化妆镜直播专用镜子台式大两用 商品总价 1008 店铺优惠 183 实付款 825 付款时间 2026-05-16 10:02:22</t>
  </si>
  <si>
    <t>2026-05-17</t>
  </si>
  <si>
    <t>化妆灯管</t>
  </si>
  <si>
    <t>账单截图/IMG_7823.PNG</t>
  </si>
  <si>
    <t>仅能确认发生转账，业务用途未在截图中体现。</t>
  </si>
  <si>
    <t>a25f5d3609c967bc</t>
  </si>
  <si>
    <t>账单 转账-转给Millenaire Lsp -860.00 转账时间 2026年5月17日20:13:26 收款时间 2026年5月17日21:46:30</t>
  </si>
  <si>
    <t>滴滴加油</t>
  </si>
  <si>
    <t>账单截图/IMG_7830.PNG</t>
  </si>
  <si>
    <t>淘宝账单详情明确标注滴滴加油。</t>
  </si>
  <si>
    <t>ac5425c7e52fb66b</t>
  </si>
  <si>
    <t>淘宝 账单详情 滴滴加油 -366.00 支付时间 2026-05-17 21:51:09 花呗</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</si>
</sst>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
    <numFmt numFmtId="177" formatCode="0_);\!\-0_)"/>
    <numFmt numFmtId="178" formatCode="[&lt;=9999999]###\-####;\(###\)\ ###\-####"/>
    <numFmt numFmtId="179" formatCode="_ \¥* #,##0_ ;_ \¥* \-#,##0_ ;_ \¥* &quot;-&quot;_ ;_ @_ "/>
    <numFmt numFmtId="180" formatCode="yyyy&quot;年&quot;m&quot;月&quot;d&quot;日&quot;;@"/>
    <numFmt numFmtId="181" formatCode="_(&quot;￥&quot;* #,##0.00_);_(&quot;￥&quot;* \(#,##0.00\);_(&quot;￥&quot;* &quot;-&quot;??_);_(@_)"/>
    <numFmt numFmtId="182" formatCode="\¥#,##0.00_);\(\¥#,##0.00\)"/>
    <numFmt numFmtId="183" formatCode="\¥#,##0.00;\¥\-#,##0.00"/>
    <numFmt numFmtId="184" formatCode="_(&quot;$&quot;* #,##0.00_);_(&quot;$&quot;* \(#,##0.00\);_(&quot;$&quot;* &quot;-&quot;??_);_(@_)"/>
    <numFmt numFmtId="185" formatCode="_ \¥* #,##0.00_ ;_ \¥* \-#,##0.00_ ;_ \¥* &quot;-&quot;??_ ;_ @_ "/>
    <numFmt numFmtId="186" formatCode="\¥#,##0.00_);[Red]\(\¥#,##0.00\)"/>
    <numFmt numFmtId="187" formatCode="dd"/>
    <numFmt numFmtId="188" formatCode="yyyy\-mm\-dd;@"/>
    <numFmt numFmtId="189" formatCode="#,##0.00_ "/>
    <numFmt numFmtId="190" formatCode="&quot;-&quot;#,##0.00_ "/>
    <numFmt numFmtId="191" formatCode="General&quot;年&quot;"/>
    <numFmt numFmtId="192" formatCode="&quot;+&quot;#,##0.00_ "/>
    <numFmt numFmtId="193" formatCode="00&quot;月&quot;"/>
    <numFmt numFmtId="194" formatCode="&quot;￥&quot;#,##0.00_);[Red]\(&quot;￥&quot;#,##0.00\)"/>
  </numFmts>
  <fonts count="119">
    <font>
      <sz val="10"/>
      <color theme="1" tint="0.249946592608417"/>
      <name val="Microsoft YaHei UI"/>
      <charset val="134"/>
    </font>
    <font>
      <b/>
      <sz val="10"/>
      <color theme="1"/>
      <name val="Microsoft YaHei UI"/>
      <charset val="134"/>
    </font>
    <font>
      <sz val="10"/>
      <color theme="0"/>
      <name val="Microsoft YaHei UI"/>
      <charset val="134"/>
    </font>
    <font>
      <sz val="10"/>
      <color theme="1"/>
      <name val="Microsoft YaHei UI"/>
      <charset val="134"/>
    </font>
    <font>
      <b/>
      <sz val="16"/>
      <color theme="1"/>
      <name val="Microsoft YaHei UI"/>
      <charset val="134"/>
    </font>
    <font>
      <b/>
      <sz val="13"/>
      <color theme="1"/>
      <name val="Microsoft YaHei UI"/>
      <charset val="134"/>
    </font>
    <font>
      <b/>
      <sz val="11"/>
      <color theme="1"/>
      <name val="Microsoft YaHei UI"/>
      <charset val="134"/>
    </font>
    <font>
      <b/>
      <sz val="10"/>
      <color theme="0"/>
      <name val="Microsoft YaHei UI"/>
      <charset val="134"/>
    </font>
    <font>
      <b/>
      <sz val="10"/>
      <name val="Microsoft YaHei UI"/>
      <charset val="134"/>
    </font>
    <font>
      <sz val="10"/>
      <color theme="1" tint="0.249946592608417"/>
      <name val="Microsoft YaHei UI"/>
      <charset val="134"/>
    </font>
    <font>
      <sz val="11"/>
      <color theme="1" tint="0.149906918546098"/>
      <name val="Microsoft YaHei UI"/>
      <charset val="134"/>
    </font>
    <font>
      <b/>
      <sz val="20"/>
      <color indexed="9"/>
      <name val="华文新魏"/>
      <charset val="134"/>
    </font>
    <font>
      <b/>
      <sz val="12"/>
      <color indexed="62"/>
      <name val="华文新魏"/>
      <charset val="134"/>
    </font>
    <font>
      <sz val="10"/>
      <name val="宋体"/>
      <charset val="134"/>
    </font>
    <font>
      <b/>
      <sz val="26"/>
      <color indexed="63"/>
      <name val="华文新魏"/>
      <charset val="134"/>
    </font>
    <font>
      <b/>
      <sz val="12"/>
      <color indexed="9"/>
      <name val="华文新魏"/>
      <charset val="134"/>
    </font>
    <font>
      <sz val="10"/>
      <name val="Arial"/>
      <charset val="134"/>
    </font>
    <font>
      <sz val="11"/>
      <color theme="1"/>
      <name val="Microsoft YaHei UI"/>
      <charset val="134"/>
    </font>
    <font>
      <sz val="11"/>
      <name val="Microsoft YaHei UI"/>
      <charset val="134"/>
    </font>
    <font>
      <b/>
      <sz val="44"/>
      <name val="Microsoft YaHei UI"/>
      <charset val="134"/>
    </font>
    <font>
      <b/>
      <i/>
      <sz val="22"/>
      <color theme="7"/>
      <name val="Microsoft YaHei UI"/>
      <charset val="134"/>
    </font>
    <font>
      <i/>
      <sz val="22"/>
      <color theme="3" tint="-0.499984740745262"/>
      <name val="Microsoft YaHei UI"/>
      <charset val="134"/>
    </font>
    <font>
      <sz val="22"/>
      <color theme="3" tint="-0.499984740745262"/>
      <name val="Microsoft YaHei UI"/>
      <charset val="134"/>
    </font>
    <font>
      <b/>
      <sz val="36"/>
      <name val="Microsoft YaHei UI"/>
      <charset val="134"/>
    </font>
    <font>
      <sz val="16"/>
      <color theme="3" tint="-0.499984740745262"/>
      <name val="Microsoft YaHei UI"/>
      <charset val="134"/>
    </font>
    <font>
      <b/>
      <sz val="26"/>
      <name val="Microsoft YaHei UI"/>
      <charset val="134"/>
    </font>
    <font>
      <b/>
      <sz val="26"/>
      <color theme="3"/>
      <name val="Microsoft YaHei UI"/>
      <charset val="134"/>
    </font>
    <font>
      <b/>
      <sz val="11"/>
      <color theme="8"/>
      <name val="Microsoft YaHei UI"/>
      <charset val="134"/>
    </font>
    <font>
      <sz val="11"/>
      <color theme="3" tint="-0.499984740745262"/>
      <name val="Microsoft YaHei UI"/>
      <charset val="134"/>
    </font>
    <font>
      <b/>
      <sz val="12"/>
      <color theme="8"/>
      <name val="Microsoft YaHei UI"/>
      <charset val="134"/>
    </font>
    <font>
      <sz val="12"/>
      <color theme="0"/>
      <name val="Microsoft YaHei UI"/>
      <charset val="134"/>
    </font>
    <font>
      <sz val="10"/>
      <name val="Microsoft YaHei UI"/>
      <charset val="134"/>
    </font>
    <font>
      <b/>
      <sz val="12"/>
      <color theme="1"/>
      <name val="Microsoft YaHei UI"/>
      <charset val="134"/>
    </font>
    <font>
      <b/>
      <i/>
      <sz val="22"/>
      <color theme="7" tint="-0.249946592608417"/>
      <name val="Microsoft YaHei UI"/>
      <charset val="134"/>
    </font>
    <font>
      <b/>
      <sz val="22"/>
      <color theme="3"/>
      <name val="Microsoft YaHei UI"/>
      <charset val="134"/>
    </font>
    <font>
      <sz val="12"/>
      <color theme="1"/>
      <name val="Microsoft YaHei UI"/>
      <charset val="134"/>
    </font>
    <font>
      <sz val="11"/>
      <color theme="0"/>
      <name val="Microsoft YaHei UI"/>
      <charset val="134"/>
    </font>
    <font>
      <sz val="14"/>
      <color theme="1"/>
      <name val="Microsoft YaHei UI"/>
      <charset val="134"/>
    </font>
    <font>
      <sz val="10"/>
      <color theme="1" tint="0.14996795556505"/>
      <name val="Microsoft YaHei UI"/>
      <charset val="134"/>
    </font>
    <font>
      <sz val="24"/>
      <color theme="4"/>
      <name val="Microsoft YaHei UI"/>
      <charset val="134"/>
    </font>
    <font>
      <sz val="40"/>
      <color theme="4"/>
      <name val="Microsoft YaHei UI"/>
      <charset val="134"/>
    </font>
    <font>
      <sz val="18"/>
      <color theme="4"/>
      <name val="Microsoft YaHei UI"/>
      <charset val="134"/>
    </font>
    <font>
      <sz val="14"/>
      <color theme="1" tint="0.14996795556505"/>
      <name val="Microsoft YaHei UI"/>
      <charset val="134"/>
    </font>
    <font>
      <sz val="10"/>
      <color theme="8" tint="-0.499984740745262"/>
      <name val="Microsoft YaHei UI"/>
      <charset val="134"/>
    </font>
    <font>
      <sz val="10"/>
      <color theme="8" tint="-0.249977111117893"/>
      <name val="Microsoft YaHei UI"/>
      <charset val="134"/>
    </font>
    <font>
      <sz val="11"/>
      <color theme="1"/>
      <name val="Calibri"/>
      <charset val="134"/>
      <scheme val="minor"/>
    </font>
    <font>
      <sz val="10"/>
      <color theme="1" tint="0.249946592608417"/>
      <name val="Calibri"/>
      <charset val="134"/>
      <scheme val="major"/>
    </font>
    <font>
      <sz val="10"/>
      <color theme="0"/>
      <name val="Calibri"/>
      <charset val="134"/>
      <scheme val="minor"/>
    </font>
    <font>
      <b/>
      <sz val="40"/>
      <color theme="4"/>
      <name val="Microsoft YaHei UI"/>
      <charset val="134"/>
    </font>
    <font>
      <sz val="22"/>
      <color theme="3" tint="0.249946592608417"/>
      <name val="Microsoft YaHei UI"/>
      <charset val="134"/>
    </font>
    <font>
      <b/>
      <sz val="20"/>
      <color theme="4"/>
      <name val="Microsoft YaHei UI"/>
      <charset val="134"/>
    </font>
    <font>
      <b/>
      <sz val="14"/>
      <color theme="1"/>
      <name val="Microsoft YaHei UI"/>
      <charset val="134"/>
    </font>
    <font>
      <sz val="12"/>
      <color theme="1" tint="0.349986266670736"/>
      <name val="Microsoft YaHei UI"/>
      <charset val="134"/>
    </font>
    <font>
      <b/>
      <sz val="14"/>
      <color theme="1" tint="0.249946592608417"/>
      <name val="Microsoft YaHei UI"/>
      <charset val="134"/>
    </font>
    <font>
      <sz val="14"/>
      <color theme="1" tint="0.249946592608417"/>
      <name val="Microsoft YaHei UI"/>
      <charset val="134"/>
    </font>
    <font>
      <b/>
      <sz val="14"/>
      <color theme="1" tint="0.349986266670736"/>
      <name val="Microsoft YaHei UI"/>
      <charset val="134"/>
    </font>
    <font>
      <b/>
      <sz val="12"/>
      <color theme="1" tint="0.349986266670736"/>
      <name val="Microsoft YaHei UI"/>
      <charset val="134"/>
    </font>
    <font>
      <b/>
      <sz val="10"/>
      <color theme="1" tint="0.249946592608417"/>
      <name val="Microsoft YaHei UI"/>
      <charset val="134"/>
    </font>
    <font>
      <sz val="12"/>
      <name val="Microsoft YaHei UI"/>
      <charset val="134"/>
    </font>
    <font>
      <b/>
      <sz val="12"/>
      <name val="Microsoft YaHei UI"/>
      <charset val="134"/>
    </font>
    <font>
      <b/>
      <sz val="20"/>
      <color theme="1" tint="0.349986266670736"/>
      <name val="Microsoft YaHei UI"/>
      <charset val="134"/>
    </font>
    <font>
      <b/>
      <sz val="20"/>
      <color theme="8"/>
      <name val="Microsoft YaHei UI"/>
      <charset val="134"/>
    </font>
    <font>
      <sz val="10"/>
      <color theme="8"/>
      <name val="Microsoft YaHei UI"/>
      <charset val="134"/>
    </font>
    <font>
      <sz val="12"/>
      <color theme="1" tint="0.249946592608417"/>
      <name val="Microsoft YaHei UI"/>
      <charset val="134"/>
    </font>
    <font>
      <b/>
      <sz val="14"/>
      <color theme="0"/>
      <name val="Microsoft YaHei UI"/>
      <charset val="134"/>
    </font>
    <font>
      <b/>
      <sz val="14"/>
      <color theme="8"/>
      <name val="Microsoft YaHei UI"/>
      <charset val="134"/>
    </font>
    <font>
      <b/>
      <sz val="20"/>
      <color theme="0"/>
      <name val="Microsoft YaHei UI"/>
      <charset val="134"/>
    </font>
    <font>
      <b/>
      <sz val="12"/>
      <color theme="1" tint="0.249946592608417"/>
      <name val="Microsoft YaHei UI"/>
      <charset val="134"/>
    </font>
    <font>
      <sz val="10"/>
      <color theme="1" tint="0.149937437055574"/>
      <name val="Microsoft YaHei UI"/>
      <charset val="134"/>
    </font>
    <font>
      <b/>
      <sz val="28"/>
      <color theme="4"/>
      <name val="Microsoft YaHei UI"/>
      <charset val="134"/>
    </font>
    <font>
      <b/>
      <sz val="11"/>
      <color theme="4" tint="-0.249977111117893"/>
      <name val="Microsoft YaHei UI"/>
      <charset val="134"/>
    </font>
    <font>
      <b/>
      <sz val="14"/>
      <color theme="1" tint="0.149723807489242"/>
      <name val="Microsoft YaHei UI"/>
      <charset val="134"/>
    </font>
    <font>
      <sz val="9"/>
      <color theme="1" tint="0.14996795556505"/>
      <name val="Microsoft YaHei UI"/>
      <charset val="134"/>
    </font>
    <font>
      <sz val="18"/>
      <color theme="1" tint="0.149937437055574"/>
      <name val="Microsoft YaHei UI"/>
      <charset val="134"/>
    </font>
    <font>
      <b/>
      <sz val="12"/>
      <color theme="1" tint="0.14996795556505"/>
      <name val="Microsoft YaHei UI"/>
      <charset val="134"/>
    </font>
    <font>
      <b/>
      <sz val="11"/>
      <color theme="1" tint="0.149723807489242"/>
      <name val="Microsoft YaHei UI"/>
      <charset val="134"/>
    </font>
    <font>
      <sz val="11"/>
      <color theme="1" tint="0.149723807489242"/>
      <name val="Microsoft YaHei UI"/>
      <charset val="134"/>
    </font>
    <font>
      <sz val="10"/>
      <color theme="1" tint="0.499984740745262"/>
      <name val="Microsoft YaHei UI"/>
      <charset val="134"/>
    </font>
    <font>
      <sz val="11"/>
      <color theme="1" tint="0.349986266670736"/>
      <name val="微软雅黑"/>
      <charset val="134"/>
    </font>
    <font>
      <b/>
      <sz val="11"/>
      <color rgb="FFFF0000"/>
      <name val="微软雅黑"/>
      <charset val="134"/>
    </font>
    <font>
      <sz val="11"/>
      <color theme="1"/>
      <name val="微软雅黑"/>
      <charset val="134"/>
    </font>
    <font>
      <b/>
      <sz val="20"/>
      <color rgb="FF24AEBE"/>
      <name val="微软雅黑"/>
      <charset val="134"/>
    </font>
    <font>
      <sz val="11"/>
      <color theme="0"/>
      <name val="微软雅黑"/>
      <charset val="134"/>
    </font>
    <font>
      <sz val="11"/>
      <color theme="0" tint="-0.0499893185216834"/>
      <name val="微软雅黑"/>
      <charset val="134"/>
    </font>
    <font>
      <b/>
      <sz val="11"/>
      <color theme="8"/>
      <name val="微软雅黑"/>
      <charset val="134"/>
    </font>
    <font>
      <b/>
      <sz val="20"/>
      <color theme="0" tint="-0.0499893185216834"/>
      <name val="微软雅黑"/>
      <charset val="134"/>
    </font>
    <font>
      <sz val="11"/>
      <color rgb="FF595959"/>
      <name val="微软雅黑"/>
      <charset val="134"/>
    </font>
    <font>
      <sz val="11"/>
      <color theme="0" tint="-0.149937437055574"/>
      <name val="微软雅黑"/>
      <charset val="134"/>
    </font>
    <font>
      <b/>
      <sz val="16"/>
      <color theme="4" tint="0.799920651875362"/>
      <name val="微软雅黑"/>
      <charset val="134"/>
    </font>
    <font>
      <b/>
      <sz val="16"/>
      <color theme="5" tint="0.799920651875362"/>
      <name val="微软雅黑"/>
      <charset val="134"/>
    </font>
    <font>
      <b/>
      <sz val="16"/>
      <color theme="0"/>
      <name val="微软雅黑"/>
      <charset val="134"/>
    </font>
    <font>
      <b/>
      <sz val="11"/>
      <color theme="0"/>
      <name val="微软雅黑"/>
      <charset val="134"/>
    </font>
    <font>
      <b/>
      <sz val="13"/>
      <color theme="0"/>
      <name val="微软雅黑"/>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8"/>
      <color theme="1" tint="0.149937437055574"/>
      <name val="Calibri"/>
      <charset val="134"/>
      <scheme val="major"/>
    </font>
    <font>
      <sz val="10"/>
      <color theme="1" tint="0.14996795556505"/>
      <name val="Calibri"/>
      <charset val="134"/>
      <scheme val="minor"/>
    </font>
    <font>
      <sz val="11"/>
      <color theme="1" tint="0.149723807489242"/>
      <name val="Calibri"/>
      <charset val="134"/>
      <scheme val="major"/>
    </font>
    <font>
      <b/>
      <i/>
      <sz val="16"/>
      <color theme="7" tint="-0.249946592608417"/>
      <name val="Microsoft YaHei UI"/>
      <charset val="134"/>
    </font>
    <font>
      <b/>
      <sz val="28"/>
      <color theme="4"/>
      <name val="Calibri"/>
      <charset val="134"/>
      <scheme val="major"/>
    </font>
    <font>
      <sz val="10"/>
      <color theme="1" tint="0.149937437055574"/>
      <name val="Calibri"/>
      <charset val="134"/>
      <scheme val="minor"/>
    </font>
    <font>
      <sz val="11"/>
      <color theme="4" tint="-0.499984740745262"/>
      <name val="Microsoft YaHei UI"/>
      <charset val="134"/>
    </font>
    <font>
      <sz val="10"/>
      <name val="宋体"/>
      <charset val="134"/>
    </font>
  </fonts>
  <fills count="60">
    <fill>
      <patternFill patternType="none"/>
    </fill>
    <fill>
      <patternFill patternType="gray125"/>
    </fill>
    <fill>
      <patternFill patternType="lightUp">
        <fgColor theme="0"/>
        <bgColor theme="4" tint="0.399945066682943"/>
      </patternFill>
    </fill>
    <fill>
      <patternFill patternType="lightUp">
        <fgColor theme="0"/>
        <bgColor theme="4" tint="0.799951170384838"/>
      </patternFill>
    </fill>
    <fill>
      <patternFill patternType="lightUp">
        <fgColor theme="0"/>
        <bgColor theme="5" tint="0.399945066682943"/>
      </patternFill>
    </fill>
    <fill>
      <patternFill patternType="lightUp">
        <fgColor theme="0"/>
        <bgColor theme="5" tint="0.799951170384838"/>
      </patternFill>
    </fill>
    <fill>
      <patternFill patternType="solid">
        <fgColor indexed="32"/>
        <bgColor indexed="64"/>
      </patternFill>
    </fill>
    <fill>
      <patternFill patternType="solid">
        <fgColor indexed="26"/>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46"/>
        <bgColor indexed="64"/>
      </patternFill>
    </fill>
    <fill>
      <patternFill patternType="solid">
        <fgColor theme="6" tint="0.599993896298105"/>
        <bgColor indexed="64"/>
      </patternFill>
    </fill>
    <fill>
      <patternFill patternType="solid">
        <fgColor theme="4" tint="0.399945066682943"/>
        <bgColor indexed="64"/>
      </patternFill>
    </fill>
    <fill>
      <patternFill patternType="solid">
        <fgColor theme="5" tint="0.599993896298105"/>
        <bgColor indexed="64"/>
      </patternFill>
    </fill>
    <fill>
      <patternFill patternType="solid">
        <fgColor theme="4"/>
        <bgColor indexed="64"/>
      </patternFill>
    </fill>
    <fill>
      <patternFill patternType="solid">
        <fgColor theme="0"/>
        <bgColor indexed="64"/>
      </patternFill>
    </fill>
    <fill>
      <patternFill patternType="solid">
        <fgColor theme="4" tint="0.399914548173467"/>
        <bgColor indexed="64"/>
      </patternFill>
    </fill>
    <fill>
      <patternFill patternType="solid">
        <fgColor theme="4" tint="0.599993896298105"/>
        <bgColor indexed="64"/>
      </patternFill>
    </fill>
    <fill>
      <patternFill patternType="solid">
        <fgColor theme="0" tint="-0.0499893185216834"/>
        <bgColor indexed="64"/>
      </patternFill>
    </fill>
    <fill>
      <patternFill patternType="solid">
        <fgColor theme="4" tint="0.799920651875362"/>
        <bgColor indexed="64"/>
      </patternFill>
    </fill>
    <fill>
      <patternFill patternType="solid">
        <fgColor theme="8" tint="0.399884029663991"/>
        <bgColor indexed="64"/>
      </patternFill>
    </fill>
    <fill>
      <patternFill patternType="solid">
        <fgColor theme="8" tint="0.599963377788629"/>
        <bgColor indexed="64"/>
      </patternFill>
    </fill>
    <fill>
      <patternFill patternType="solid">
        <fgColor theme="8" tint="0.799920651875362"/>
        <bgColor indexed="64"/>
      </patternFill>
    </fill>
    <fill>
      <patternFill patternType="solid">
        <fgColor theme="4" tint="0.599963377788629"/>
        <bgColor indexed="64"/>
      </patternFill>
    </fill>
    <fill>
      <patternFill patternType="solid">
        <fgColor rgb="FF28BED2"/>
        <bgColor indexed="64"/>
      </patternFill>
    </fill>
    <fill>
      <patternFill patternType="solid">
        <fgColor rgb="FF1E909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5" tint="0.399914548173467"/>
        <bgColor indexed="64"/>
      </patternFill>
    </fill>
    <fill>
      <patternFill patternType="solid">
        <fgColor theme="6" tint="0.399914548173467"/>
        <bgColor indexed="64"/>
      </patternFill>
    </fill>
  </fills>
  <borders count="65">
    <border>
      <left/>
      <right/>
      <top/>
      <bottom/>
      <diagonal/>
    </border>
    <border>
      <left/>
      <right/>
      <top style="medium">
        <color theme="0"/>
      </top>
      <bottom style="medium">
        <color theme="0"/>
      </bottom>
      <diagonal/>
    </border>
    <border>
      <left/>
      <right/>
      <top/>
      <bottom style="thick">
        <color theme="4" tint="0.399945066682943"/>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right style="thin">
        <color auto="1"/>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top/>
      <bottom style="thick">
        <color auto="1"/>
      </bottom>
      <diagonal/>
    </border>
    <border>
      <left/>
      <right/>
      <top/>
      <bottom style="thin">
        <color theme="0"/>
      </bottom>
      <diagonal/>
    </border>
    <border>
      <left/>
      <right/>
      <top style="thin">
        <color theme="0"/>
      </top>
      <bottom/>
      <diagonal/>
    </border>
    <border>
      <left/>
      <right/>
      <top style="thin">
        <color theme="0"/>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right style="thin">
        <color theme="0" tint="-0.149906918546098"/>
      </right>
      <top/>
      <bottom style="thin">
        <color theme="0" tint="-0.149876400036622"/>
      </bottom>
      <diagonal/>
    </border>
    <border>
      <left style="thin">
        <color theme="0" tint="-0.149906918546098"/>
      </left>
      <right/>
      <top/>
      <bottom style="thin">
        <color theme="0" tint="-0.149876400036622"/>
      </bottom>
      <diagonal/>
    </border>
    <border>
      <left/>
      <right style="thin">
        <color theme="0" tint="-0.149906918546098"/>
      </right>
      <top/>
      <bottom style="thin">
        <color theme="0" tint="-0.149906918546098"/>
      </bottom>
      <diagonal/>
    </border>
    <border>
      <left style="thin">
        <color theme="0" tint="-0.149906918546098"/>
      </left>
      <right/>
      <top/>
      <bottom style="thin">
        <color theme="0" tint="-0.149906918546098"/>
      </bottom>
      <diagonal/>
    </border>
    <border>
      <left/>
      <right style="thin">
        <color theme="0" tint="-0.149845881527146"/>
      </right>
      <top style="thin">
        <color theme="0" tint="-0.149906918546098"/>
      </top>
      <bottom style="thin">
        <color theme="0" tint="-0.149876400036622"/>
      </bottom>
      <diagonal/>
    </border>
    <border>
      <left style="thin">
        <color theme="0" tint="-0.149845881527146"/>
      </left>
      <right/>
      <top style="thin">
        <color theme="0" tint="-0.149906918546098"/>
      </top>
      <bottom style="thin">
        <color theme="0" tint="-0.149876400036622"/>
      </bottom>
      <diagonal/>
    </border>
    <border>
      <left/>
      <right style="thin">
        <color theme="0" tint="-0.149906918546098"/>
      </right>
      <top style="thin">
        <color theme="0" tint="-0.149906918546098"/>
      </top>
      <bottom style="thin">
        <color theme="0" tint="-0.149906918546098"/>
      </bottom>
      <diagonal/>
    </border>
    <border>
      <left style="thin">
        <color theme="0" tint="-0.149906918546098"/>
      </left>
      <right/>
      <top style="thin">
        <color theme="0" tint="-0.149906918546098"/>
      </top>
      <bottom style="thin">
        <color theme="0" tint="-0.149906918546098"/>
      </bottom>
      <diagonal/>
    </border>
    <border>
      <left/>
      <right/>
      <top/>
      <bottom style="double">
        <color theme="1" tint="0.149937437055574"/>
      </bottom>
      <diagonal/>
    </border>
    <border>
      <left style="dotted">
        <color theme="0" tint="-0.349986266670736"/>
      </left>
      <right style="dotted">
        <color theme="0" tint="-0.349986266670736"/>
      </right>
      <top/>
      <bottom/>
      <diagonal/>
    </border>
    <border>
      <left style="dotted">
        <color theme="0" tint="-0.349986266670736"/>
      </left>
      <right style="dotted">
        <color theme="0" tint="-0.349986266670736"/>
      </right>
      <top style="thin">
        <color theme="0"/>
      </top>
      <bottom style="thin">
        <color theme="0"/>
      </bottom>
      <diagonal/>
    </border>
    <border>
      <left style="dotted">
        <color theme="0" tint="-0.349986266670736"/>
      </left>
      <right style="dotted">
        <color theme="0" tint="-0.349986266670736"/>
      </right>
      <top/>
      <bottom style="thick">
        <color theme="4"/>
      </bottom>
      <diagonal/>
    </border>
    <border>
      <left/>
      <right style="dotted">
        <color theme="0" tint="-0.349986266670736"/>
      </right>
      <top/>
      <bottom style="medium">
        <color theme="4" tint="0.399914548173467"/>
      </bottom>
      <diagonal/>
    </border>
    <border>
      <left style="dotted">
        <color theme="0" tint="-0.349986266670736"/>
      </left>
      <right style="dotted">
        <color theme="0" tint="-0.349986266670736"/>
      </right>
      <top/>
      <bottom style="medium">
        <color theme="4" tint="0.399914548173467"/>
      </bottom>
      <diagonal/>
    </border>
    <border>
      <left/>
      <right/>
      <top/>
      <bottom style="thick">
        <color theme="0"/>
      </bottom>
      <diagonal/>
    </border>
    <border>
      <left style="dotted">
        <color theme="0" tint="-0.349986266670736"/>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medium">
        <color rgb="FF1E909E"/>
      </left>
      <right style="medium">
        <color rgb="FF1E909E"/>
      </right>
      <top style="medium">
        <color rgb="FF1E909E"/>
      </top>
      <bottom/>
      <diagonal/>
    </border>
    <border>
      <left/>
      <right style="medium">
        <color rgb="FF1E909E"/>
      </right>
      <top style="medium">
        <color rgb="FF1E909E"/>
      </top>
      <bottom/>
      <diagonal/>
    </border>
    <border>
      <left style="thin">
        <color rgb="FF9AE6EC"/>
      </left>
      <right style="thin">
        <color rgb="FF9AE6EC"/>
      </right>
      <top/>
      <bottom style="thin">
        <color rgb="FF9AE6EC"/>
      </bottom>
      <diagonal/>
    </border>
    <border>
      <left style="medium">
        <color rgb="FF1E909E"/>
      </left>
      <right/>
      <top/>
      <bottom/>
      <diagonal/>
    </border>
    <border>
      <left/>
      <right style="medium">
        <color rgb="FF1E909E"/>
      </right>
      <top/>
      <bottom/>
      <diagonal/>
    </border>
    <border>
      <left style="medium">
        <color rgb="FF1E909E"/>
      </left>
      <right style="medium">
        <color rgb="FF1E909E"/>
      </right>
      <top/>
      <bottom/>
      <diagonal/>
    </border>
    <border>
      <left style="medium">
        <color rgb="FF1E909E"/>
      </left>
      <right style="medium">
        <color rgb="FF1E909E"/>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style="thin">
        <color rgb="FFB2B2B2"/>
      </left>
      <right style="thin">
        <color rgb="FFB2B2B2"/>
      </right>
      <top style="thin">
        <color rgb="FFB2B2B2"/>
      </top>
      <bottom style="thin">
        <color rgb="FFB2B2B2"/>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dotted">
        <color theme="3"/>
      </bottom>
      <diagonal/>
    </border>
  </borders>
  <cellStyleXfs count="72">
    <xf numFmtId="0" fontId="0" fillId="0" borderId="0"/>
    <xf numFmtId="43" fontId="93" fillId="0" borderId="0" applyFont="0" applyFill="0" applyBorder="0" applyAlignment="0" applyProtection="0">
      <alignment vertical="center"/>
    </xf>
    <xf numFmtId="44" fontId="93" fillId="0" borderId="0" applyFont="0" applyFill="0" applyBorder="0" applyAlignment="0" applyProtection="0">
      <alignment vertical="center"/>
    </xf>
    <xf numFmtId="9" fontId="93" fillId="0" borderId="0" applyFont="0" applyFill="0" applyBorder="0" applyAlignment="0" applyProtection="0">
      <alignment vertical="center"/>
    </xf>
    <xf numFmtId="41" fontId="93" fillId="0" borderId="0" applyFont="0" applyFill="0" applyBorder="0" applyAlignment="0" applyProtection="0">
      <alignment vertical="center"/>
    </xf>
    <xf numFmtId="42" fontId="93" fillId="0" borderId="0" applyFont="0" applyFill="0" applyBorder="0" applyAlignment="0" applyProtection="0">
      <alignment vertical="center"/>
    </xf>
    <xf numFmtId="0" fontId="94"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3" fillId="27" borderId="55" applyNumberFormat="0" applyFont="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49" fillId="0" borderId="56"/>
    <xf numFmtId="0" fontId="9" fillId="0" borderId="57"/>
    <xf numFmtId="0" fontId="57" fillId="0" borderId="58"/>
    <xf numFmtId="0" fontId="99" fillId="0" borderId="0" applyNumberFormat="0" applyFill="0" applyBorder="0" applyAlignment="0" applyProtection="0">
      <alignment vertical="center"/>
    </xf>
    <xf numFmtId="0" fontId="100" fillId="28" borderId="59" applyNumberFormat="0" applyAlignment="0" applyProtection="0">
      <alignment vertical="center"/>
    </xf>
    <xf numFmtId="0" fontId="101" fillId="29" borderId="60" applyNumberFormat="0" applyAlignment="0" applyProtection="0">
      <alignment vertical="center"/>
    </xf>
    <xf numFmtId="0" fontId="102" fillId="29" borderId="59" applyNumberFormat="0" applyAlignment="0" applyProtection="0">
      <alignment vertical="center"/>
    </xf>
    <xf numFmtId="0" fontId="103" fillId="30" borderId="61" applyNumberFormat="0" applyAlignment="0" applyProtection="0">
      <alignment vertical="center"/>
    </xf>
    <xf numFmtId="0" fontId="104" fillId="0" borderId="62" applyNumberFormat="0" applyFill="0" applyAlignment="0" applyProtection="0">
      <alignment vertical="center"/>
    </xf>
    <xf numFmtId="0" fontId="105" fillId="0" borderId="63" applyNumberFormat="0" applyFill="0" applyAlignment="0" applyProtection="0">
      <alignment vertical="center"/>
    </xf>
    <xf numFmtId="0" fontId="106" fillId="31" borderId="0" applyNumberFormat="0" applyBorder="0" applyAlignment="0" applyProtection="0">
      <alignment vertical="center"/>
    </xf>
    <xf numFmtId="0" fontId="107" fillId="32" borderId="0" applyNumberFormat="0" applyBorder="0" applyAlignment="0" applyProtection="0">
      <alignment vertical="center"/>
    </xf>
    <xf numFmtId="0" fontId="108" fillId="33" borderId="0" applyNumberFormat="0" applyBorder="0" applyAlignment="0" applyProtection="0">
      <alignment vertical="center"/>
    </xf>
    <xf numFmtId="0" fontId="109" fillId="34" borderId="0" applyNumberFormat="0" applyBorder="0" applyAlignment="0" applyProtection="0">
      <alignment vertical="center"/>
    </xf>
    <xf numFmtId="0" fontId="110" fillId="35" borderId="0" applyNumberFormat="0" applyBorder="0" applyAlignment="0" applyProtection="0">
      <alignment vertical="center"/>
    </xf>
    <xf numFmtId="0" fontId="110" fillId="36" borderId="0" applyNumberFormat="0" applyBorder="0" applyAlignment="0" applyProtection="0">
      <alignment vertical="center"/>
    </xf>
    <xf numFmtId="0" fontId="109" fillId="37" borderId="0" applyNumberFormat="0" applyBorder="0" applyAlignment="0" applyProtection="0">
      <alignment vertical="center"/>
    </xf>
    <xf numFmtId="0" fontId="109" fillId="38" borderId="0" applyNumberFormat="0" applyBorder="0" applyAlignment="0" applyProtection="0">
      <alignment vertical="center"/>
    </xf>
    <xf numFmtId="0" fontId="110" fillId="39" borderId="0" applyNumberFormat="0" applyBorder="0" applyAlignment="0" applyProtection="0">
      <alignment vertical="center"/>
    </xf>
    <xf numFmtId="0" fontId="110" fillId="40" borderId="0" applyNumberFormat="0" applyBorder="0" applyAlignment="0" applyProtection="0">
      <alignment vertical="center"/>
    </xf>
    <xf numFmtId="0" fontId="109" fillId="41" borderId="0" applyNumberFormat="0" applyBorder="0" applyAlignment="0" applyProtection="0">
      <alignment vertical="center"/>
    </xf>
    <xf numFmtId="0" fontId="109" fillId="42" borderId="0" applyNumberFormat="0" applyBorder="0" applyAlignment="0" applyProtection="0">
      <alignment vertical="center"/>
    </xf>
    <xf numFmtId="0" fontId="110" fillId="43" borderId="0" applyNumberFormat="0" applyBorder="0" applyAlignment="0" applyProtection="0">
      <alignment vertical="center"/>
    </xf>
    <xf numFmtId="0" fontId="110" fillId="44" borderId="0" applyNumberFormat="0" applyBorder="0" applyAlignment="0" applyProtection="0">
      <alignment vertical="center"/>
    </xf>
    <xf numFmtId="0" fontId="109" fillId="45" borderId="0" applyNumberFormat="0" applyBorder="0" applyAlignment="0" applyProtection="0">
      <alignment vertical="center"/>
    </xf>
    <xf numFmtId="0" fontId="109" fillId="46" borderId="0" applyNumberFormat="0" applyBorder="0" applyAlignment="0" applyProtection="0">
      <alignment vertical="center"/>
    </xf>
    <xf numFmtId="0" fontId="110" fillId="47" borderId="0" applyNumberFormat="0" applyBorder="0" applyAlignment="0" applyProtection="0">
      <alignment vertical="center"/>
    </xf>
    <xf numFmtId="0" fontId="110" fillId="48" borderId="0" applyNumberFormat="0" applyBorder="0" applyAlignment="0" applyProtection="0">
      <alignment vertical="center"/>
    </xf>
    <xf numFmtId="0" fontId="109" fillId="49" borderId="0" applyNumberFormat="0" applyBorder="0" applyAlignment="0" applyProtection="0">
      <alignment vertical="center"/>
    </xf>
    <xf numFmtId="0" fontId="109" fillId="50" borderId="0" applyNumberFormat="0" applyBorder="0" applyAlignment="0" applyProtection="0">
      <alignment vertical="center"/>
    </xf>
    <xf numFmtId="0" fontId="110" fillId="51" borderId="0" applyNumberFormat="0" applyBorder="0" applyAlignment="0" applyProtection="0">
      <alignment vertical="center"/>
    </xf>
    <xf numFmtId="0" fontId="110" fillId="52" borderId="0" applyNumberFormat="0" applyBorder="0" applyAlignment="0" applyProtection="0">
      <alignment vertical="center"/>
    </xf>
    <xf numFmtId="0" fontId="109" fillId="53" borderId="0" applyNumberFormat="0" applyBorder="0" applyAlignment="0" applyProtection="0">
      <alignment vertical="center"/>
    </xf>
    <xf numFmtId="0" fontId="109" fillId="54" borderId="0" applyNumberFormat="0" applyBorder="0" applyAlignment="0" applyProtection="0">
      <alignment vertical="center"/>
    </xf>
    <xf numFmtId="0" fontId="110" fillId="55" borderId="0" applyNumberFormat="0" applyBorder="0" applyAlignment="0" applyProtection="0">
      <alignment vertical="center"/>
    </xf>
    <xf numFmtId="0" fontId="110" fillId="56" borderId="0" applyNumberFormat="0" applyBorder="0" applyAlignment="0" applyProtection="0">
      <alignment vertical="center"/>
    </xf>
    <xf numFmtId="0" fontId="109" fillId="57" borderId="0" applyNumberFormat="0" applyBorder="0" applyAlignment="0" applyProtection="0">
      <alignment vertical="center"/>
    </xf>
    <xf numFmtId="176" fontId="111" fillId="0" borderId="35">
      <alignment horizontal="right" vertical="center" wrapText="1" indent="1"/>
    </xf>
    <xf numFmtId="177" fontId="112" fillId="24" borderId="39">
      <alignment vertical="center"/>
    </xf>
    <xf numFmtId="9" fontId="18" fillId="0" borderId="0">
      <alignment horizontal="right"/>
    </xf>
    <xf numFmtId="0" fontId="113" fillId="0" borderId="0"/>
    <xf numFmtId="0" fontId="114" fillId="0" borderId="64">
      <alignment vertical="center"/>
    </xf>
    <xf numFmtId="0" fontId="5" fillId="0" borderId="2"/>
    <xf numFmtId="0" fontId="33" fillId="0" borderId="0">
      <alignment horizontal="right" vertical="center"/>
    </xf>
    <xf numFmtId="0" fontId="29" fillId="0" borderId="0">
      <alignment horizontal="right" vertical="center"/>
    </xf>
    <xf numFmtId="0" fontId="115" fillId="0" borderId="0"/>
    <xf numFmtId="0" fontId="34" fillId="0" borderId="0">
      <alignment vertical="center"/>
    </xf>
    <xf numFmtId="0" fontId="17" fillId="0" borderId="0">
      <alignment horizontal="right" wrapText="1" indent="1"/>
    </xf>
    <xf numFmtId="0" fontId="116" fillId="0" borderId="0">
      <alignment vertical="center"/>
    </xf>
    <xf numFmtId="0" fontId="3" fillId="0" borderId="0"/>
    <xf numFmtId="0" fontId="17" fillId="0" borderId="0"/>
    <xf numFmtId="0" fontId="10" fillId="0" borderId="0">
      <alignment vertical="center" wrapText="1"/>
    </xf>
    <xf numFmtId="178" fontId="117" fillId="0" borderId="0"/>
    <xf numFmtId="179" fontId="18" fillId="0" borderId="0"/>
    <xf numFmtId="0" fontId="3" fillId="3" borderId="0"/>
    <xf numFmtId="0" fontId="3" fillId="5" borderId="0"/>
    <xf numFmtId="14" fontId="117" fillId="0" borderId="0"/>
    <xf numFmtId="179" fontId="17" fillId="58" borderId="20">
      <alignment horizontal="center"/>
    </xf>
    <xf numFmtId="179" fontId="18" fillId="13" borderId="20"/>
    <xf numFmtId="179" fontId="18" fillId="59" borderId="20"/>
  </cellStyleXfs>
  <cellXfs count="362">
    <xf numFmtId="0" fontId="0" fillId="0" borderId="0" xfId="0"/>
    <xf numFmtId="0" fontId="1" fillId="0" borderId="1" xfId="61" applyFont="1" applyBorder="1"/>
    <xf numFmtId="0" fontId="2" fillId="0" borderId="0" xfId="61" applyFont="1"/>
    <xf numFmtId="0" fontId="3" fillId="0" borderId="0" xfId="61"/>
    <xf numFmtId="0" fontId="4" fillId="0" borderId="2" xfId="54" applyFont="1" applyAlignment="1">
      <alignment horizontal="left" wrapText="1"/>
    </xf>
    <xf numFmtId="0" fontId="5" fillId="0" borderId="2" xfId="54" applyAlignment="1">
      <alignment horizontal="right"/>
    </xf>
    <xf numFmtId="0" fontId="0" fillId="0" borderId="2" xfId="0" applyBorder="1"/>
    <xf numFmtId="0" fontId="5" fillId="0" borderId="2" xfId="54" applyAlignment="1">
      <alignment horizontal="center"/>
    </xf>
    <xf numFmtId="0" fontId="6" fillId="0" borderId="0" xfId="61" applyFont="1" applyAlignment="1">
      <alignment wrapText="1"/>
    </xf>
    <xf numFmtId="0" fontId="1" fillId="0" borderId="0" xfId="61" applyFont="1"/>
    <xf numFmtId="0" fontId="7" fillId="0" borderId="3" xfId="61" applyFont="1" applyBorder="1"/>
    <xf numFmtId="0" fontId="8" fillId="2" borderId="1" xfId="66" applyFont="1" applyFill="1" applyBorder="1" applyAlignment="1">
      <alignment wrapText="1"/>
    </xf>
    <xf numFmtId="0" fontId="8" fillId="2" borderId="1" xfId="66" applyFont="1" applyFill="1" applyBorder="1" applyAlignment="1">
      <alignment horizontal="center"/>
    </xf>
    <xf numFmtId="0" fontId="0" fillId="3" borderId="4" xfId="66" applyFont="1" applyBorder="1" applyAlignment="1">
      <alignment wrapText="1"/>
    </xf>
    <xf numFmtId="43" fontId="0" fillId="3" borderId="4" xfId="66" applyNumberFormat="1" applyFont="1" applyBorder="1"/>
    <xf numFmtId="43" fontId="9" fillId="3" borderId="4" xfId="66" applyNumberFormat="1" applyFont="1" applyBorder="1"/>
    <xf numFmtId="0" fontId="0" fillId="3" borderId="5" xfId="66" applyFont="1" applyBorder="1" applyAlignment="1">
      <alignment wrapText="1"/>
    </xf>
    <xf numFmtId="43" fontId="0" fillId="3" borderId="5" xfId="66" applyNumberFormat="1" applyFont="1" applyBorder="1"/>
    <xf numFmtId="43" fontId="9" fillId="3" borderId="5" xfId="66" applyNumberFormat="1" applyFont="1" applyBorder="1"/>
    <xf numFmtId="0" fontId="8" fillId="2" borderId="1" xfId="0" applyFont="1" applyFill="1" applyBorder="1" applyAlignment="1">
      <alignment wrapText="1"/>
    </xf>
    <xf numFmtId="43" fontId="8" fillId="2" borderId="1" xfId="0" applyNumberFormat="1" applyFont="1" applyFill="1" applyBorder="1"/>
    <xf numFmtId="0" fontId="3" fillId="0" borderId="0" xfId="61" applyAlignment="1">
      <alignment wrapText="1"/>
    </xf>
    <xf numFmtId="0" fontId="5" fillId="0" borderId="2" xfId="54" applyAlignment="1">
      <alignment wrapText="1"/>
    </xf>
    <xf numFmtId="43" fontId="5" fillId="0" borderId="2" xfId="54" applyNumberFormat="1"/>
    <xf numFmtId="0" fontId="5" fillId="0" borderId="6" xfId="54" applyBorder="1"/>
    <xf numFmtId="0" fontId="5" fillId="0" borderId="6" xfId="54" applyBorder="1" applyAlignment="1">
      <alignment horizontal="center"/>
    </xf>
    <xf numFmtId="0" fontId="8" fillId="4" borderId="1" xfId="67" applyFont="1" applyFill="1" applyBorder="1" applyAlignment="1">
      <alignment wrapText="1"/>
    </xf>
    <xf numFmtId="0" fontId="8" fillId="4" borderId="1" xfId="67" applyFont="1" applyFill="1" applyBorder="1" applyAlignment="1">
      <alignment horizontal="center"/>
    </xf>
    <xf numFmtId="0" fontId="0" fillId="5" borderId="4" xfId="67" applyFont="1" applyBorder="1" applyAlignment="1">
      <alignment wrapText="1"/>
    </xf>
    <xf numFmtId="43" fontId="0" fillId="5" borderId="4" xfId="67" applyNumberFormat="1" applyFont="1" applyBorder="1"/>
    <xf numFmtId="43" fontId="9" fillId="5" borderId="4" xfId="67" applyNumberFormat="1" applyFont="1" applyBorder="1"/>
    <xf numFmtId="0" fontId="0" fillId="5" borderId="5" xfId="67" applyFont="1" applyBorder="1" applyAlignment="1">
      <alignment wrapText="1"/>
    </xf>
    <xf numFmtId="43" fontId="0" fillId="5" borderId="5" xfId="67" applyNumberFormat="1" applyFont="1" applyBorder="1"/>
    <xf numFmtId="43" fontId="9" fillId="5" borderId="5" xfId="67" applyNumberFormat="1" applyFont="1" applyBorder="1"/>
    <xf numFmtId="0" fontId="8" fillId="4" borderId="1" xfId="0" applyFont="1" applyFill="1" applyBorder="1" applyAlignment="1">
      <alignment wrapText="1"/>
    </xf>
    <xf numFmtId="43" fontId="8" fillId="4" borderId="1" xfId="0" applyNumberFormat="1" applyFont="1" applyFill="1" applyBorder="1"/>
    <xf numFmtId="0" fontId="5" fillId="0" borderId="6" xfId="54" applyBorder="1" applyAlignment="1">
      <alignment horizontal="left" wrapText="1"/>
    </xf>
    <xf numFmtId="43" fontId="5" fillId="0" borderId="6" xfId="54" applyNumberFormat="1" applyBorder="1"/>
    <xf numFmtId="0" fontId="5" fillId="0" borderId="0" xfId="61" applyFont="1" applyAlignment="1">
      <alignment horizontal="right"/>
    </xf>
    <xf numFmtId="43" fontId="5" fillId="0" borderId="0" xfId="61" applyNumberFormat="1" applyFont="1"/>
    <xf numFmtId="0" fontId="10" fillId="0" borderId="0" xfId="63" applyAlignment="1">
      <alignment vertical="center" wrapText="1"/>
    </xf>
    <xf numFmtId="0" fontId="11" fillId="6" borderId="7" xfId="63" applyFont="1" applyFill="1" applyBorder="1" applyAlignment="1" applyProtection="1">
      <protection locked="0"/>
    </xf>
    <xf numFmtId="0" fontId="0" fillId="0" borderId="7" xfId="0" applyBorder="1" applyProtection="1">
      <protection locked="0"/>
    </xf>
    <xf numFmtId="0" fontId="12" fillId="0" borderId="8" xfId="63" applyFont="1" applyBorder="1" applyAlignment="1" applyProtection="1">
      <alignment horizontal="center" wrapText="1"/>
      <protection locked="0"/>
    </xf>
    <xf numFmtId="0" fontId="12" fillId="0" borderId="9" xfId="63" applyFont="1" applyBorder="1" applyAlignment="1" applyProtection="1">
      <alignment horizontal="center" wrapText="1"/>
      <protection locked="0"/>
    </xf>
    <xf numFmtId="0" fontId="12" fillId="0" borderId="10" xfId="63" applyFont="1" applyBorder="1" applyAlignment="1" applyProtection="1">
      <alignment horizontal="center" wrapText="1"/>
      <protection locked="0"/>
    </xf>
    <xf numFmtId="0" fontId="10" fillId="0" borderId="11" xfId="63" applyBorder="1" applyAlignment="1" applyProtection="1">
      <alignment wrapText="1"/>
      <protection locked="0"/>
    </xf>
    <xf numFmtId="49" fontId="10" fillId="0" borderId="12" xfId="63" applyNumberFormat="1" applyBorder="1" applyAlignment="1" applyProtection="1">
      <alignment horizontal="right"/>
      <protection locked="0"/>
    </xf>
    <xf numFmtId="49" fontId="10" fillId="0" borderId="11" xfId="63" applyNumberFormat="1" applyBorder="1" applyAlignment="1" applyProtection="1">
      <alignment horizontal="center" wrapText="1"/>
      <protection locked="0"/>
    </xf>
    <xf numFmtId="180" fontId="10" fillId="0" borderId="11" xfId="63" applyNumberFormat="1" applyBorder="1" applyAlignment="1" applyProtection="1">
      <alignment horizontal="right"/>
      <protection locked="0"/>
    </xf>
    <xf numFmtId="181" fontId="10" fillId="0" borderId="11" xfId="63" applyNumberFormat="1" applyBorder="1" applyAlignment="1" applyProtection="1">
      <alignment horizontal="right"/>
      <protection locked="0"/>
    </xf>
    <xf numFmtId="0" fontId="10" fillId="0" borderId="12" xfId="63" applyBorder="1" applyAlignment="1" applyProtection="1">
      <alignment horizontal="right"/>
      <protection locked="0"/>
    </xf>
    <xf numFmtId="181" fontId="10" fillId="7" borderId="11" xfId="63" applyNumberFormat="1" applyFill="1" applyBorder="1" applyAlignment="1">
      <alignment horizontal="right"/>
    </xf>
    <xf numFmtId="49" fontId="10" fillId="0" borderId="11" xfId="63" applyNumberFormat="1" applyBorder="1" applyAlignment="1" applyProtection="1">
      <alignment horizontal="right"/>
      <protection locked="0"/>
    </xf>
    <xf numFmtId="49" fontId="10" fillId="0" borderId="11" xfId="63" applyNumberFormat="1" applyBorder="1" applyAlignment="1" applyProtection="1">
      <alignment horizontal="center"/>
      <protection locked="0"/>
    </xf>
    <xf numFmtId="0" fontId="10" fillId="0" borderId="11" xfId="63" applyBorder="1" applyAlignment="1" applyProtection="1">
      <alignment horizontal="right"/>
      <protection locked="0"/>
    </xf>
    <xf numFmtId="0" fontId="10" fillId="0" borderId="0" xfId="63" applyAlignment="1" applyProtection="1">
      <protection locked="0"/>
    </xf>
    <xf numFmtId="180" fontId="10" fillId="0" borderId="12" xfId="63" applyNumberFormat="1" applyBorder="1" applyAlignment="1" applyProtection="1">
      <alignment horizontal="right"/>
      <protection locked="0"/>
    </xf>
    <xf numFmtId="181" fontId="10" fillId="0" borderId="12" xfId="63" applyNumberFormat="1" applyBorder="1" applyAlignment="1" applyProtection="1">
      <alignment horizontal="right"/>
      <protection locked="0"/>
    </xf>
    <xf numFmtId="0" fontId="13" fillId="0" borderId="11" xfId="63" applyFont="1" applyBorder="1" applyAlignment="1" applyProtection="1">
      <alignment wrapText="1"/>
      <protection locked="0"/>
    </xf>
    <xf numFmtId="0" fontId="14" fillId="8" borderId="0" xfId="63" applyFont="1" applyFill="1" applyAlignment="1" applyProtection="1">
      <alignment vertical="center"/>
      <protection locked="0"/>
    </xf>
    <xf numFmtId="0" fontId="0" fillId="0" borderId="0" xfId="0" applyProtection="1">
      <protection locked="0"/>
    </xf>
    <xf numFmtId="0" fontId="15" fillId="9" borderId="13" xfId="63" applyFont="1" applyFill="1" applyBorder="1" applyAlignment="1" applyProtection="1">
      <alignment horizontal="center" vertical="center" wrapText="1"/>
      <protection locked="0"/>
    </xf>
    <xf numFmtId="0" fontId="15" fillId="9" borderId="14" xfId="63" applyFont="1" applyFill="1" applyBorder="1" applyAlignment="1" applyProtection="1">
      <alignment horizontal="center" vertical="center" wrapText="1"/>
      <protection locked="0"/>
    </xf>
    <xf numFmtId="0" fontId="15" fillId="9" borderId="15" xfId="63" applyFont="1" applyFill="1" applyBorder="1" applyAlignment="1" applyProtection="1">
      <alignment horizontal="center" vertical="center" wrapText="1"/>
      <protection locked="0"/>
    </xf>
    <xf numFmtId="0" fontId="13" fillId="10" borderId="16" xfId="63" applyFont="1" applyFill="1" applyBorder="1" applyAlignment="1" applyProtection="1">
      <alignment horizontal="center" vertical="center" wrapText="1"/>
      <protection locked="0"/>
    </xf>
    <xf numFmtId="49" fontId="16" fillId="10" borderId="16" xfId="63" applyNumberFormat="1" applyFont="1" applyFill="1" applyBorder="1" applyAlignment="1" applyProtection="1">
      <alignment horizontal="right" vertical="center"/>
      <protection locked="0"/>
    </xf>
    <xf numFmtId="49" fontId="13" fillId="10" borderId="16" xfId="63" applyNumberFormat="1" applyFont="1" applyFill="1" applyBorder="1" applyAlignment="1" applyProtection="1">
      <alignment horizontal="center" vertical="center"/>
      <protection locked="0"/>
    </xf>
    <xf numFmtId="180" fontId="16" fillId="10" borderId="16" xfId="63" applyNumberFormat="1" applyFont="1" applyFill="1" applyBorder="1" applyAlignment="1" applyProtection="1">
      <alignment horizontal="right" vertical="center"/>
      <protection locked="0"/>
    </xf>
    <xf numFmtId="181" fontId="16" fillId="10" borderId="16" xfId="63" applyNumberFormat="1" applyFont="1" applyFill="1" applyBorder="1" applyAlignment="1" applyProtection="1">
      <alignment horizontal="right" vertical="center"/>
      <protection locked="0"/>
    </xf>
    <xf numFmtId="181" fontId="16" fillId="11" borderId="16" xfId="63" applyNumberFormat="1" applyFont="1" applyFill="1" applyBorder="1" applyAlignment="1">
      <alignment horizontal="right" vertical="center"/>
    </xf>
    <xf numFmtId="0" fontId="13" fillId="0" borderId="17" xfId="63" applyFont="1" applyBorder="1" applyAlignment="1" applyProtection="1">
      <alignment horizontal="center" vertical="center" wrapText="1"/>
      <protection locked="0"/>
    </xf>
    <xf numFmtId="49" fontId="16" fillId="0" borderId="17" xfId="63" applyNumberFormat="1" applyFont="1" applyBorder="1" applyAlignment="1" applyProtection="1">
      <alignment horizontal="right" vertical="center"/>
      <protection locked="0"/>
    </xf>
    <xf numFmtId="49" fontId="16" fillId="0" borderId="17" xfId="63" applyNumberFormat="1" applyFont="1" applyBorder="1" applyAlignment="1" applyProtection="1">
      <alignment horizontal="center" vertical="center"/>
      <protection locked="0"/>
    </xf>
    <xf numFmtId="180" fontId="16" fillId="0" borderId="17" xfId="63" applyNumberFormat="1" applyFont="1" applyBorder="1" applyAlignment="1" applyProtection="1">
      <alignment horizontal="right" vertical="center"/>
      <protection locked="0"/>
    </xf>
    <xf numFmtId="181" fontId="16" fillId="0" borderId="17" xfId="63" applyNumberFormat="1" applyFont="1" applyBorder="1" applyAlignment="1" applyProtection="1">
      <alignment horizontal="right" vertical="center"/>
      <protection locked="0"/>
    </xf>
    <xf numFmtId="181" fontId="16" fillId="11" borderId="17" xfId="63" applyNumberFormat="1" applyFont="1" applyFill="1" applyBorder="1" applyAlignment="1">
      <alignment horizontal="right" vertical="center"/>
    </xf>
    <xf numFmtId="0" fontId="16" fillId="10" borderId="17" xfId="63" applyFont="1" applyFill="1" applyBorder="1" applyAlignment="1" applyProtection="1">
      <alignment horizontal="center" vertical="center" wrapText="1"/>
      <protection locked="0"/>
    </xf>
    <xf numFmtId="49" fontId="16" fillId="10" borderId="17" xfId="63" applyNumberFormat="1" applyFont="1" applyFill="1" applyBorder="1" applyAlignment="1" applyProtection="1">
      <alignment horizontal="right" vertical="center"/>
      <protection locked="0"/>
    </xf>
    <xf numFmtId="49" fontId="16" fillId="10" borderId="17" xfId="63" applyNumberFormat="1" applyFont="1" applyFill="1" applyBorder="1" applyAlignment="1" applyProtection="1">
      <alignment horizontal="center" vertical="center"/>
      <protection locked="0"/>
    </xf>
    <xf numFmtId="180" fontId="16" fillId="10" borderId="17" xfId="63" applyNumberFormat="1" applyFont="1" applyFill="1" applyBorder="1" applyAlignment="1" applyProtection="1">
      <alignment horizontal="right" vertical="center"/>
      <protection locked="0"/>
    </xf>
    <xf numFmtId="181" fontId="16" fillId="10" borderId="17" xfId="63" applyNumberFormat="1" applyFont="1" applyFill="1" applyBorder="1" applyAlignment="1" applyProtection="1">
      <alignment horizontal="right" vertical="center"/>
      <protection locked="0"/>
    </xf>
    <xf numFmtId="0" fontId="17" fillId="0" borderId="0" xfId="62" applyAlignment="1">
      <alignment horizontal="left" vertical="center" indent="1"/>
    </xf>
    <xf numFmtId="0" fontId="17" fillId="0" borderId="0" xfId="62" applyAlignment="1">
      <alignment vertical="center"/>
    </xf>
    <xf numFmtId="0" fontId="17" fillId="0" borderId="0" xfId="62"/>
    <xf numFmtId="0" fontId="18" fillId="0" borderId="0" xfId="62" applyFont="1"/>
    <xf numFmtId="0" fontId="19" fillId="0" borderId="0" xfId="55" applyFont="1" applyAlignment="1"/>
    <xf numFmtId="0" fontId="20" fillId="0" borderId="0" xfId="62" applyFont="1" applyAlignment="1">
      <alignment horizontal="left" vertical="center" indent="1"/>
    </xf>
    <xf numFmtId="0" fontId="21" fillId="0" borderId="0" xfId="62" applyFont="1" applyAlignment="1">
      <alignment horizontal="left" vertical="center" indent="1"/>
    </xf>
    <xf numFmtId="0" fontId="22" fillId="0" borderId="0" xfId="62" applyFont="1" applyAlignment="1">
      <alignment horizontal="left" vertical="center" indent="1"/>
    </xf>
    <xf numFmtId="0" fontId="23" fillId="0" borderId="0" xfId="55" applyFont="1" applyAlignment="1">
      <alignment horizontal="left" vertical="top" indent="1"/>
    </xf>
    <xf numFmtId="0" fontId="18" fillId="0" borderId="0" xfId="62" applyFont="1" applyAlignment="1">
      <alignment horizontal="left"/>
    </xf>
    <xf numFmtId="0" fontId="17" fillId="0" borderId="0" xfId="62" applyAlignment="1">
      <alignment horizontal="center"/>
    </xf>
    <xf numFmtId="0" fontId="20" fillId="0" borderId="0" xfId="62" applyFont="1" applyAlignment="1">
      <alignment horizontal="right" vertical="center"/>
    </xf>
    <xf numFmtId="0" fontId="21" fillId="0" borderId="0" xfId="62" applyFont="1" applyAlignment="1">
      <alignment horizontal="right" vertical="center"/>
    </xf>
    <xf numFmtId="0" fontId="22" fillId="0" borderId="0" xfId="62" applyFont="1" applyAlignment="1">
      <alignment horizontal="right" vertical="center"/>
    </xf>
    <xf numFmtId="0" fontId="24" fillId="0" borderId="0" xfId="53" applyFont="1" applyBorder="1" applyAlignment="1">
      <alignment horizontal="right" vertical="center" indent="1"/>
    </xf>
    <xf numFmtId="0" fontId="25" fillId="0" borderId="18" xfId="58" applyFont="1" applyBorder="1" applyAlignment="1">
      <alignment vertical="top"/>
    </xf>
    <xf numFmtId="0" fontId="17" fillId="0" borderId="18" xfId="62" applyBorder="1"/>
    <xf numFmtId="0" fontId="26" fillId="0" borderId="18" xfId="62" applyFont="1" applyBorder="1" applyAlignment="1">
      <alignment vertical="center"/>
    </xf>
    <xf numFmtId="0" fontId="27" fillId="0" borderId="18" xfId="62" applyFont="1" applyBorder="1"/>
    <xf numFmtId="0" fontId="28" fillId="0" borderId="18" xfId="62" applyFont="1" applyBorder="1"/>
    <xf numFmtId="0" fontId="26" fillId="0" borderId="0" xfId="62" applyFont="1" applyAlignment="1">
      <alignment vertical="center"/>
    </xf>
    <xf numFmtId="0" fontId="27" fillId="0" borderId="0" xfId="62" applyFont="1"/>
    <xf numFmtId="0" fontId="29" fillId="0" borderId="0" xfId="56" applyAlignment="1">
      <alignment horizontal="right" vertical="center"/>
    </xf>
    <xf numFmtId="0" fontId="30" fillId="0" borderId="0" xfId="62" applyFont="1" applyAlignment="1">
      <alignment horizontal="left" vertical="center" indent="1"/>
    </xf>
    <xf numFmtId="0" fontId="2" fillId="0" borderId="0" xfId="62" applyFont="1" applyAlignment="1">
      <alignment horizontal="center" vertical="center"/>
    </xf>
    <xf numFmtId="0" fontId="3" fillId="0" borderId="0" xfId="59" applyFont="1" applyAlignment="1">
      <alignment horizontal="left" vertical="center" wrapText="1" indent="1"/>
    </xf>
    <xf numFmtId="0" fontId="17" fillId="12" borderId="0" xfId="71" applyNumberFormat="1" applyFont="1" applyFill="1" applyBorder="1" applyAlignment="1">
      <alignment horizontal="center" vertical="center"/>
    </xf>
    <xf numFmtId="182" fontId="3" fillId="0" borderId="0" xfId="65" applyNumberFormat="1" applyFont="1" applyAlignment="1">
      <alignment horizontal="center" vertical="center"/>
    </xf>
    <xf numFmtId="182" fontId="31" fillId="12" borderId="0" xfId="65" applyNumberFormat="1" applyFont="1" applyFill="1" applyAlignment="1">
      <alignment horizontal="center" vertical="center"/>
    </xf>
    <xf numFmtId="9" fontId="3" fillId="0" borderId="0" xfId="51" applyFont="1" applyAlignment="1">
      <alignment horizontal="center" vertical="center"/>
    </xf>
    <xf numFmtId="9" fontId="31" fillId="12" borderId="19" xfId="51" applyFont="1" applyFill="1" applyBorder="1" applyAlignment="1">
      <alignment horizontal="center" vertical="center"/>
    </xf>
    <xf numFmtId="9" fontId="31" fillId="12" borderId="0" xfId="51" applyFont="1" applyFill="1" applyAlignment="1">
      <alignment horizontal="center" vertical="center"/>
    </xf>
    <xf numFmtId="0" fontId="17" fillId="12" borderId="20" xfId="71" applyNumberFormat="1" applyFont="1" applyFill="1" applyAlignment="1">
      <alignment horizontal="center" vertical="center"/>
    </xf>
    <xf numFmtId="182" fontId="31" fillId="12" borderId="20" xfId="65" applyNumberFormat="1" applyFont="1" applyFill="1" applyBorder="1" applyAlignment="1">
      <alignment horizontal="center" vertical="center"/>
    </xf>
    <xf numFmtId="9" fontId="31" fillId="12" borderId="21" xfId="51" applyFont="1" applyFill="1" applyBorder="1" applyAlignment="1">
      <alignment horizontal="center" vertical="center"/>
    </xf>
    <xf numFmtId="9" fontId="31" fillId="12" borderId="20" xfId="51" applyFont="1" applyFill="1" applyBorder="1" applyAlignment="1">
      <alignment horizontal="center" vertical="center"/>
    </xf>
    <xf numFmtId="182" fontId="31" fillId="12" borderId="21" xfId="65" applyNumberFormat="1" applyFont="1" applyFill="1" applyBorder="1" applyAlignment="1">
      <alignment horizontal="center" vertical="center"/>
    </xf>
    <xf numFmtId="0" fontId="32" fillId="0" borderId="0" xfId="62" applyFont="1" applyAlignment="1">
      <alignment horizontal="left" vertical="center" indent="1"/>
    </xf>
    <xf numFmtId="182" fontId="3" fillId="0" borderId="0" xfId="62" applyNumberFormat="1" applyFont="1" applyAlignment="1">
      <alignment horizontal="center" vertical="center"/>
    </xf>
    <xf numFmtId="182" fontId="3" fillId="12" borderId="0" xfId="62" applyNumberFormat="1" applyFont="1" applyFill="1" applyAlignment="1">
      <alignment horizontal="center" vertical="center"/>
    </xf>
    <xf numFmtId="9" fontId="3" fillId="0" borderId="0" xfId="62" applyNumberFormat="1" applyFont="1" applyAlignment="1">
      <alignment horizontal="center" vertical="center"/>
    </xf>
    <xf numFmtId="0" fontId="30" fillId="0" borderId="0" xfId="62" applyFont="1" applyAlignment="1">
      <alignment horizontal="right" vertical="center" indent="1"/>
    </xf>
    <xf numFmtId="182" fontId="2" fillId="0" borderId="0" xfId="62" applyNumberFormat="1" applyFont="1" applyAlignment="1">
      <alignment horizontal="center" vertical="center"/>
    </xf>
    <xf numFmtId="9" fontId="2" fillId="0" borderId="0" xfId="62" applyNumberFormat="1" applyFont="1" applyAlignment="1">
      <alignment horizontal="center" vertical="center"/>
    </xf>
    <xf numFmtId="183" fontId="17" fillId="0" borderId="0" xfId="62" applyNumberFormat="1"/>
    <xf numFmtId="0" fontId="3" fillId="0" borderId="0" xfId="62" applyFont="1"/>
    <xf numFmtId="0" fontId="17" fillId="0" borderId="0" xfId="62" applyAlignment="1">
      <alignment horizontal="left" indent="1"/>
    </xf>
    <xf numFmtId="0" fontId="19" fillId="0" borderId="0" xfId="55" applyFont="1" applyAlignment="1">
      <alignment horizontal="left"/>
    </xf>
    <xf numFmtId="0" fontId="33" fillId="0" borderId="0" xfId="55" applyAlignment="1">
      <alignment horizontal="right" vertical="center"/>
    </xf>
    <xf numFmtId="0" fontId="29" fillId="0" borderId="18" xfId="56" applyBorder="1" applyAlignment="1">
      <alignment horizontal="right" vertical="center"/>
    </xf>
    <xf numFmtId="0" fontId="25" fillId="0" borderId="0" xfId="58" applyFont="1" applyAlignment="1">
      <alignment horizontal="left" vertical="top"/>
    </xf>
    <xf numFmtId="0" fontId="17" fillId="13" borderId="0" xfId="70" applyNumberFormat="1" applyFont="1" applyBorder="1" applyAlignment="1">
      <alignment horizontal="left" vertical="center" indent="1"/>
    </xf>
    <xf numFmtId="182" fontId="3" fillId="13" borderId="0" xfId="70" applyNumberFormat="1" applyFont="1" applyBorder="1" applyAlignment="1">
      <alignment horizontal="center" vertical="center"/>
    </xf>
    <xf numFmtId="9" fontId="3" fillId="13" borderId="0" xfId="70" applyNumberFormat="1" applyFont="1" applyBorder="1" applyAlignment="1">
      <alignment horizontal="center" vertical="center"/>
    </xf>
    <xf numFmtId="0" fontId="17" fillId="13" borderId="20" xfId="70" applyNumberFormat="1" applyFont="1" applyAlignment="1">
      <alignment horizontal="left" vertical="center" indent="1"/>
    </xf>
    <xf numFmtId="182" fontId="3" fillId="13" borderId="20" xfId="70" applyNumberFormat="1" applyFont="1" applyAlignment="1">
      <alignment horizontal="center" vertical="center"/>
    </xf>
    <xf numFmtId="9" fontId="3" fillId="13" borderId="20" xfId="70" applyNumberFormat="1" applyFont="1" applyAlignment="1">
      <alignment horizontal="center" vertical="center"/>
    </xf>
    <xf numFmtId="0" fontId="17" fillId="13" borderId="21" xfId="70" applyNumberFormat="1" applyFont="1" applyBorder="1" applyAlignment="1">
      <alignment horizontal="left" vertical="center" indent="1"/>
    </xf>
    <xf numFmtId="182" fontId="3" fillId="13" borderId="21" xfId="70" applyNumberFormat="1" applyFont="1" applyBorder="1" applyAlignment="1">
      <alignment horizontal="center" vertical="center"/>
    </xf>
    <xf numFmtId="9" fontId="3" fillId="13" borderId="21" xfId="70" applyNumberFormat="1" applyFont="1" applyBorder="1" applyAlignment="1">
      <alignment horizontal="center" vertical="center"/>
    </xf>
    <xf numFmtId="0" fontId="17" fillId="13" borderId="0" xfId="62" applyFill="1" applyAlignment="1">
      <alignment horizontal="left" vertical="center" indent="1"/>
    </xf>
    <xf numFmtId="182" fontId="3" fillId="13" borderId="0" xfId="62" applyNumberFormat="1" applyFont="1" applyFill="1" applyAlignment="1">
      <alignment horizontal="center" vertical="center"/>
    </xf>
    <xf numFmtId="9" fontId="3" fillId="13" borderId="0" xfId="62" applyNumberFormat="1" applyFont="1" applyFill="1" applyAlignment="1">
      <alignment horizontal="center" vertical="center"/>
    </xf>
    <xf numFmtId="0" fontId="34" fillId="0" borderId="0" xfId="58" applyAlignment="1">
      <alignment vertical="center"/>
    </xf>
    <xf numFmtId="0" fontId="35" fillId="14" borderId="0" xfId="62" applyFont="1" applyFill="1" applyAlignment="1">
      <alignment horizontal="left" vertical="center" indent="1"/>
    </xf>
    <xf numFmtId="0" fontId="3" fillId="14" borderId="0" xfId="62" applyFont="1" applyFill="1" applyAlignment="1">
      <alignment horizontal="center" vertical="center"/>
    </xf>
    <xf numFmtId="0" fontId="3" fillId="14" borderId="0" xfId="69" applyNumberFormat="1" applyFont="1" applyFill="1" applyBorder="1" applyAlignment="1">
      <alignment horizontal="left" vertical="center" indent="1"/>
    </xf>
    <xf numFmtId="182" fontId="31" fillId="0" borderId="0" xfId="65" applyNumberFormat="1" applyFont="1" applyAlignment="1">
      <alignment horizontal="center" vertical="center"/>
    </xf>
    <xf numFmtId="182" fontId="31" fillId="14" borderId="0" xfId="65" applyNumberFormat="1" applyFont="1" applyFill="1" applyAlignment="1">
      <alignment horizontal="center" vertical="center"/>
    </xf>
    <xf numFmtId="9" fontId="31" fillId="0" borderId="0" xfId="51" applyFont="1" applyAlignment="1">
      <alignment horizontal="center" vertical="center"/>
    </xf>
    <xf numFmtId="9" fontId="31" fillId="14" borderId="0" xfId="51" applyFont="1" applyFill="1" applyAlignment="1">
      <alignment horizontal="center" vertical="center"/>
    </xf>
    <xf numFmtId="0" fontId="3" fillId="14" borderId="20" xfId="69" applyNumberFormat="1" applyFont="1" applyFill="1" applyAlignment="1">
      <alignment horizontal="left" vertical="center" indent="1"/>
    </xf>
    <xf numFmtId="182" fontId="31" fillId="14" borderId="20" xfId="65" applyNumberFormat="1" applyFont="1" applyFill="1" applyBorder="1" applyAlignment="1">
      <alignment horizontal="center" vertical="center"/>
    </xf>
    <xf numFmtId="9" fontId="31" fillId="14" borderId="20" xfId="51" applyFont="1" applyFill="1" applyBorder="1" applyAlignment="1">
      <alignment horizontal="center" vertical="center"/>
    </xf>
    <xf numFmtId="0" fontId="36" fillId="0" borderId="0" xfId="62" applyFont="1" applyAlignment="1">
      <alignment horizontal="left" vertical="center"/>
    </xf>
    <xf numFmtId="0" fontId="37" fillId="0" borderId="0" xfId="62" applyFont="1" applyAlignment="1">
      <alignment vertical="center"/>
    </xf>
    <xf numFmtId="0" fontId="3" fillId="0" borderId="0" xfId="62" applyFont="1" applyAlignment="1">
      <alignment vertical="center"/>
    </xf>
    <xf numFmtId="0" fontId="38" fillId="0" borderId="0" xfId="62" applyFont="1"/>
    <xf numFmtId="184" fontId="3" fillId="0" borderId="0" xfId="62" applyNumberFormat="1" applyFont="1"/>
    <xf numFmtId="184" fontId="3" fillId="0" borderId="0" xfId="62" applyNumberFormat="1" applyFont="1" applyAlignment="1">
      <alignment horizontal="left" indent="1"/>
    </xf>
    <xf numFmtId="0" fontId="3" fillId="15" borderId="0" xfId="62" applyFont="1" applyFill="1"/>
    <xf numFmtId="0" fontId="3" fillId="14" borderId="0" xfId="62" applyFont="1" applyFill="1"/>
    <xf numFmtId="0" fontId="38" fillId="14" borderId="0" xfId="62" applyFont="1" applyFill="1"/>
    <xf numFmtId="185" fontId="3" fillId="14" borderId="0" xfId="62" applyNumberFormat="1" applyFont="1" applyFill="1"/>
    <xf numFmtId="185" fontId="3" fillId="14" borderId="0" xfId="62" applyNumberFormat="1" applyFont="1" applyFill="1" applyAlignment="1">
      <alignment horizontal="left" indent="1"/>
    </xf>
    <xf numFmtId="0" fontId="39" fillId="14" borderId="0" xfId="62" applyFont="1" applyFill="1" applyAlignment="1">
      <alignment horizontal="left"/>
    </xf>
    <xf numFmtId="0" fontId="40" fillId="14" borderId="0" xfId="62" applyFont="1" applyFill="1"/>
    <xf numFmtId="0" fontId="37" fillId="15" borderId="0" xfId="62" applyFont="1" applyFill="1" applyAlignment="1">
      <alignment vertical="center"/>
    </xf>
    <xf numFmtId="0" fontId="37" fillId="14" borderId="0" xfId="62" applyFont="1" applyFill="1" applyAlignment="1">
      <alignment vertical="center"/>
    </xf>
    <xf numFmtId="0" fontId="41" fillId="14" borderId="22" xfId="62" applyFont="1" applyFill="1" applyBorder="1" applyAlignment="1">
      <alignment vertical="center"/>
    </xf>
    <xf numFmtId="0" fontId="42" fillId="14" borderId="22" xfId="62" applyFont="1" applyFill="1" applyBorder="1" applyAlignment="1">
      <alignment vertical="center"/>
    </xf>
    <xf numFmtId="185" fontId="37" fillId="14" borderId="22" xfId="62" applyNumberFormat="1" applyFont="1" applyFill="1" applyBorder="1" applyAlignment="1">
      <alignment vertical="center"/>
    </xf>
    <xf numFmtId="185" fontId="37" fillId="14" borderId="22" xfId="62" applyNumberFormat="1" applyFont="1" applyFill="1" applyBorder="1" applyAlignment="1">
      <alignment horizontal="left" vertical="center" indent="1"/>
    </xf>
    <xf numFmtId="0" fontId="37" fillId="14" borderId="22" xfId="62" applyFont="1" applyFill="1" applyBorder="1" applyAlignment="1">
      <alignment vertical="center"/>
    </xf>
    <xf numFmtId="0" fontId="3" fillId="15" borderId="0" xfId="62" applyFont="1" applyFill="1" applyAlignment="1">
      <alignment vertical="center"/>
    </xf>
    <xf numFmtId="0" fontId="3" fillId="14" borderId="0" xfId="62" applyFont="1" applyFill="1" applyAlignment="1">
      <alignment vertical="center"/>
    </xf>
    <xf numFmtId="0" fontId="38" fillId="14" borderId="0" xfId="62" applyFont="1" applyFill="1" applyAlignment="1">
      <alignment vertical="center"/>
    </xf>
    <xf numFmtId="185" fontId="3" fillId="14" borderId="23" xfId="62" applyNumberFormat="1" applyFont="1" applyFill="1" applyBorder="1" applyAlignment="1">
      <alignment vertical="center"/>
    </xf>
    <xf numFmtId="185" fontId="3" fillId="14" borderId="0" xfId="62" applyNumberFormat="1" applyFont="1" applyFill="1" applyAlignment="1">
      <alignment horizontal="left" vertical="center" indent="1"/>
    </xf>
    <xf numFmtId="185" fontId="3" fillId="14" borderId="0" xfId="62" applyNumberFormat="1" applyFont="1" applyFill="1" applyAlignment="1">
      <alignment vertical="center"/>
    </xf>
    <xf numFmtId="0" fontId="38" fillId="14" borderId="0" xfId="62" applyFont="1" applyFill="1" applyAlignment="1">
      <alignment horizontal="right" vertical="center"/>
    </xf>
    <xf numFmtId="0" fontId="38" fillId="14" borderId="0" xfId="62" applyFont="1" applyFill="1" applyAlignment="1">
      <alignment vertical="center" wrapText="1"/>
    </xf>
    <xf numFmtId="0" fontId="43" fillId="14" borderId="0" xfId="62" applyFont="1" applyFill="1" applyAlignment="1">
      <alignment horizontal="left" vertical="center"/>
    </xf>
    <xf numFmtId="185" fontId="31" fillId="14" borderId="0" xfId="62" applyNumberFormat="1" applyFont="1" applyFill="1" applyAlignment="1">
      <alignment horizontal="left" vertical="center" indent="1"/>
    </xf>
    <xf numFmtId="185" fontId="31" fillId="14" borderId="0" xfId="62" applyNumberFormat="1" applyFont="1" applyFill="1" applyAlignment="1">
      <alignment vertical="center"/>
    </xf>
    <xf numFmtId="185" fontId="3" fillId="14" borderId="23" xfId="62" applyNumberFormat="1" applyFont="1" applyFill="1" applyBorder="1"/>
    <xf numFmtId="0" fontId="38" fillId="14" borderId="0" xfId="62" applyFont="1" applyFill="1" applyAlignment="1">
      <alignment horizontal="right"/>
    </xf>
    <xf numFmtId="185" fontId="3" fillId="14" borderId="24" xfId="62" applyNumberFormat="1" applyFont="1" applyFill="1" applyBorder="1"/>
    <xf numFmtId="0" fontId="44" fillId="14" borderId="0" xfId="62" applyFont="1" applyFill="1"/>
    <xf numFmtId="185" fontId="31" fillId="14" borderId="23" xfId="62" applyNumberFormat="1" applyFont="1" applyFill="1" applyBorder="1" applyAlignment="1">
      <alignment horizontal="left" vertical="center" indent="1"/>
    </xf>
    <xf numFmtId="0" fontId="45" fillId="0" borderId="0" xfId="0" applyFont="1"/>
    <xf numFmtId="0" fontId="46" fillId="0" borderId="0" xfId="0" applyFont="1"/>
    <xf numFmtId="0" fontId="47" fillId="0" borderId="0" xfId="0" applyFont="1"/>
    <xf numFmtId="0" fontId="36" fillId="0" borderId="0" xfId="0" applyFont="1"/>
    <xf numFmtId="0" fontId="17" fillId="0" borderId="0" xfId="0" applyFont="1"/>
    <xf numFmtId="0" fontId="36" fillId="0" borderId="0" xfId="0" applyFont="1" applyAlignment="1">
      <alignment wrapText="1"/>
    </xf>
    <xf numFmtId="0" fontId="48" fillId="0" borderId="0" xfId="0" applyFont="1" applyAlignment="1">
      <alignment horizontal="left" vertical="center" indent="7"/>
    </xf>
    <xf numFmtId="0" fontId="49" fillId="16" borderId="0" xfId="12" applyFill="1" applyBorder="1"/>
    <xf numFmtId="0" fontId="2" fillId="0" borderId="0" xfId="0" applyFont="1"/>
    <xf numFmtId="0" fontId="50" fillId="16" borderId="25" xfId="14" applyFont="1" applyFill="1" applyBorder="1" applyAlignment="1">
      <alignment horizontal="left" vertical="center" indent="1"/>
    </xf>
    <xf numFmtId="0" fontId="0" fillId="0" borderId="25" xfId="0" applyBorder="1"/>
    <xf numFmtId="0" fontId="9" fillId="0" borderId="0" xfId="13" applyBorder="1" applyAlignment="1">
      <alignment vertical="center" wrapText="1"/>
    </xf>
    <xf numFmtId="0" fontId="51" fillId="17" borderId="0" xfId="13" applyFont="1" applyFill="1" applyBorder="1" applyAlignment="1">
      <alignment horizontal="left" vertical="center" wrapText="1" indent="1"/>
    </xf>
    <xf numFmtId="186" fontId="37" fillId="17" borderId="0" xfId="0" applyNumberFormat="1" applyFont="1" applyFill="1" applyAlignment="1">
      <alignment horizontal="center" vertical="center"/>
    </xf>
    <xf numFmtId="0" fontId="52" fillId="16" borderId="26" xfId="13" applyFont="1" applyFill="1" applyBorder="1" applyAlignment="1">
      <alignment horizontal="left" vertical="center" indent="1"/>
    </xf>
    <xf numFmtId="186" fontId="52" fillId="16" borderId="27" xfId="0" applyNumberFormat="1" applyFont="1" applyFill="1" applyBorder="1" applyAlignment="1">
      <alignment horizontal="center" vertical="center"/>
    </xf>
    <xf numFmtId="0" fontId="9" fillId="0" borderId="0" xfId="13" applyBorder="1" applyAlignment="1">
      <alignment vertical="center"/>
    </xf>
    <xf numFmtId="0" fontId="52" fillId="16" borderId="28" xfId="13" applyFont="1" applyFill="1" applyBorder="1" applyAlignment="1">
      <alignment horizontal="left" vertical="center" indent="1"/>
    </xf>
    <xf numFmtId="186" fontId="52" fillId="16" borderId="29" xfId="0" applyNumberFormat="1" applyFont="1" applyFill="1" applyBorder="1" applyAlignment="1">
      <alignment horizontal="center" vertical="center"/>
    </xf>
    <xf numFmtId="0" fontId="53" fillId="18" borderId="0" xfId="13" applyFont="1" applyFill="1" applyBorder="1" applyAlignment="1">
      <alignment horizontal="left" vertical="center" wrapText="1" indent="1"/>
    </xf>
    <xf numFmtId="186" fontId="54" fillId="18" borderId="0" xfId="0" applyNumberFormat="1" applyFont="1" applyFill="1" applyAlignment="1">
      <alignment horizontal="center" vertical="center"/>
    </xf>
    <xf numFmtId="0" fontId="55" fillId="19" borderId="30" xfId="13" applyFont="1" applyFill="1" applyBorder="1" applyAlignment="1">
      <alignment horizontal="left" vertical="center" indent="1"/>
    </xf>
    <xf numFmtId="186" fontId="56" fillId="19" borderId="31" xfId="0" applyNumberFormat="1" applyFont="1" applyFill="1" applyBorder="1" applyAlignment="1">
      <alignment horizontal="center" vertical="center"/>
    </xf>
    <xf numFmtId="0" fontId="53" fillId="20" borderId="0" xfId="13" applyFont="1" applyFill="1" applyBorder="1" applyAlignment="1">
      <alignment horizontal="left" vertical="center" wrapText="1" indent="1"/>
    </xf>
    <xf numFmtId="186" fontId="55" fillId="20" borderId="0" xfId="0" applyNumberFormat="1" applyFont="1" applyFill="1" applyAlignment="1">
      <alignment horizontal="center" vertical="center"/>
    </xf>
    <xf numFmtId="0" fontId="9" fillId="0" borderId="0" xfId="13" applyBorder="1" applyAlignment="1">
      <alignment horizontal="left" vertical="center"/>
    </xf>
    <xf numFmtId="0" fontId="52" fillId="16" borderId="32" xfId="13" applyFont="1" applyFill="1" applyBorder="1" applyAlignment="1">
      <alignment horizontal="left" vertical="center" indent="1"/>
    </xf>
    <xf numFmtId="186" fontId="52" fillId="16" borderId="33" xfId="0" applyNumberFormat="1" applyFont="1" applyFill="1" applyBorder="1" applyAlignment="1">
      <alignment horizontal="center" vertical="center"/>
    </xf>
    <xf numFmtId="186" fontId="57" fillId="0" borderId="0" xfId="0" applyNumberFormat="1" applyFont="1" applyAlignment="1">
      <alignment vertical="center"/>
    </xf>
    <xf numFmtId="0" fontId="58" fillId="16" borderId="0" xfId="13" applyFont="1" applyFill="1" applyBorder="1" applyAlignment="1">
      <alignment vertical="center"/>
    </xf>
    <xf numFmtId="186" fontId="59" fillId="16" borderId="0" xfId="0" applyNumberFormat="1" applyFont="1" applyFill="1" applyAlignment="1">
      <alignment vertical="center"/>
    </xf>
    <xf numFmtId="0" fontId="60" fillId="0" borderId="0" xfId="0" applyFont="1"/>
    <xf numFmtId="0" fontId="50" fillId="16" borderId="0" xfId="13" applyFont="1" applyFill="1" applyBorder="1" applyAlignment="1">
      <alignment horizontal="left" vertical="center" indent="1"/>
    </xf>
    <xf numFmtId="0" fontId="61" fillId="0" borderId="0" xfId="0" applyFont="1" applyAlignment="1">
      <alignment horizontal="left" vertical="center" indent="1"/>
    </xf>
    <xf numFmtId="0" fontId="62" fillId="0" borderId="0" xfId="0" applyFont="1" applyAlignment="1">
      <alignment horizontal="left" vertical="center" indent="1"/>
    </xf>
    <xf numFmtId="0" fontId="50" fillId="0" borderId="0" xfId="0" applyFont="1" applyAlignment="1">
      <alignment horizontal="left" vertical="center" indent="1"/>
    </xf>
    <xf numFmtId="0" fontId="30" fillId="0" borderId="0" xfId="0" applyFont="1" applyAlignment="1">
      <alignment horizontal="left" vertical="center" indent="1"/>
    </xf>
    <xf numFmtId="0" fontId="55" fillId="0" borderId="0" xfId="0" applyFont="1" applyAlignment="1">
      <alignment horizontal="center" vertical="center" wrapText="1"/>
    </xf>
    <xf numFmtId="0" fontId="55" fillId="0" borderId="0" xfId="0" applyFont="1" applyAlignment="1">
      <alignment horizontal="center" vertical="center"/>
    </xf>
    <xf numFmtId="0" fontId="63" fillId="0" borderId="0" xfId="0" applyFont="1"/>
    <xf numFmtId="0" fontId="64" fillId="16" borderId="0" xfId="0" applyFont="1" applyFill="1" applyAlignment="1">
      <alignment horizontal="left" vertical="center" indent="1"/>
    </xf>
    <xf numFmtId="0" fontId="55" fillId="16" borderId="0" xfId="0" applyFont="1" applyFill="1" applyAlignment="1">
      <alignment horizontal="center" vertical="center" wrapText="1"/>
    </xf>
    <xf numFmtId="0" fontId="55" fillId="16" borderId="0" xfId="0" applyFont="1" applyFill="1" applyAlignment="1">
      <alignment horizontal="center" vertical="center"/>
    </xf>
    <xf numFmtId="0" fontId="52" fillId="0" borderId="0" xfId="0" applyFont="1" applyAlignment="1">
      <alignment horizontal="left" vertical="center" indent="1"/>
    </xf>
    <xf numFmtId="183" fontId="52" fillId="0" borderId="0" xfId="0" applyNumberFormat="1" applyFont="1" applyAlignment="1">
      <alignment horizontal="center" vertical="center"/>
    </xf>
    <xf numFmtId="0" fontId="52" fillId="16" borderId="0" xfId="0" applyFont="1" applyFill="1" applyAlignment="1">
      <alignment horizontal="left" vertical="center" indent="1"/>
    </xf>
    <xf numFmtId="183" fontId="52" fillId="16" borderId="0" xfId="0" applyNumberFormat="1" applyFont="1" applyFill="1" applyAlignment="1">
      <alignment horizontal="center" vertical="center"/>
    </xf>
    <xf numFmtId="0" fontId="55" fillId="19" borderId="0" xfId="0" applyFont="1" applyFill="1" applyAlignment="1">
      <alignment horizontal="left" vertical="center" indent="1"/>
    </xf>
    <xf numFmtId="183" fontId="35" fillId="19" borderId="0" xfId="0" applyNumberFormat="1" applyFont="1" applyFill="1" applyAlignment="1">
      <alignment horizontal="center" vertical="center"/>
    </xf>
    <xf numFmtId="183" fontId="56" fillId="19" borderId="0" xfId="0" applyNumberFormat="1" applyFont="1" applyFill="1" applyAlignment="1">
      <alignment horizontal="center" vertical="center"/>
    </xf>
    <xf numFmtId="0" fontId="55" fillId="0" borderId="0" xfId="0" applyFont="1" applyAlignment="1">
      <alignment horizontal="left" vertical="center" indent="1"/>
    </xf>
    <xf numFmtId="183" fontId="58" fillId="0" borderId="0" xfId="0" applyNumberFormat="1" applyFont="1" applyAlignment="1">
      <alignment horizontal="center" vertical="center"/>
    </xf>
    <xf numFmtId="0" fontId="63" fillId="0" borderId="0" xfId="0" applyFont="1" applyAlignment="1">
      <alignment horizontal="center"/>
    </xf>
    <xf numFmtId="0" fontId="65" fillId="16" borderId="0" xfId="0" applyFont="1" applyFill="1" applyAlignment="1">
      <alignment horizontal="left" vertical="center" indent="1"/>
    </xf>
    <xf numFmtId="183" fontId="63" fillId="16" borderId="0" xfId="0" applyNumberFormat="1" applyFont="1" applyFill="1" applyAlignment="1">
      <alignment horizontal="center" vertical="center"/>
    </xf>
    <xf numFmtId="0" fontId="50" fillId="16" borderId="0" xfId="0" applyFont="1" applyFill="1" applyAlignment="1">
      <alignment horizontal="left" vertical="center" indent="1"/>
    </xf>
    <xf numFmtId="0" fontId="64" fillId="16" borderId="0" xfId="0" applyFont="1" applyFill="1" applyAlignment="1">
      <alignment horizontal="center" vertical="center"/>
    </xf>
    <xf numFmtId="0" fontId="30" fillId="16" borderId="0" xfId="0" applyFont="1" applyFill="1" applyAlignment="1">
      <alignment horizontal="left" vertical="center" indent="1"/>
    </xf>
    <xf numFmtId="183" fontId="63" fillId="19" borderId="0" xfId="0" applyNumberFormat="1" applyFont="1" applyFill="1" applyAlignment="1">
      <alignment horizontal="center" vertical="center"/>
    </xf>
    <xf numFmtId="183" fontId="63" fillId="16" borderId="0" xfId="0" applyNumberFormat="1" applyFont="1" applyFill="1" applyAlignment="1">
      <alignment horizontal="left" vertical="center" indent="1"/>
    </xf>
    <xf numFmtId="0" fontId="65" fillId="16" borderId="0" xfId="0" applyFont="1" applyFill="1" applyAlignment="1">
      <alignment vertical="center"/>
    </xf>
    <xf numFmtId="183" fontId="63" fillId="16" borderId="0" xfId="0" applyNumberFormat="1" applyFont="1" applyFill="1" applyAlignment="1">
      <alignment vertical="center"/>
    </xf>
    <xf numFmtId="183" fontId="52" fillId="19" borderId="0" xfId="0" applyNumberFormat="1" applyFont="1" applyFill="1" applyAlignment="1">
      <alignment horizontal="center" vertical="center"/>
    </xf>
    <xf numFmtId="0" fontId="56" fillId="16" borderId="0" xfId="0" applyFont="1" applyFill="1" applyAlignment="1">
      <alignment horizontal="left" vertical="center" indent="1"/>
    </xf>
    <xf numFmtId="183" fontId="52" fillId="16" borderId="0" xfId="0" applyNumberFormat="1" applyFont="1" applyFill="1" applyAlignment="1">
      <alignment horizontal="left" vertical="center"/>
    </xf>
    <xf numFmtId="0" fontId="66" fillId="16" borderId="0" xfId="0" applyFont="1" applyFill="1" applyAlignment="1">
      <alignment horizontal="left" vertical="center" indent="1"/>
    </xf>
    <xf numFmtId="0" fontId="67" fillId="16" borderId="0" xfId="0" applyFont="1" applyFill="1" applyAlignment="1">
      <alignment horizontal="left" vertical="center" indent="1"/>
    </xf>
    <xf numFmtId="0" fontId="67" fillId="0" borderId="0" xfId="0" applyFont="1" applyAlignment="1">
      <alignment vertical="center"/>
    </xf>
    <xf numFmtId="183" fontId="63" fillId="0" borderId="0" xfId="0" applyNumberFormat="1" applyFont="1" applyAlignment="1">
      <alignment vertical="center"/>
    </xf>
    <xf numFmtId="0" fontId="64" fillId="16" borderId="0" xfId="0" applyFont="1" applyFill="1" applyAlignment="1">
      <alignment vertical="center"/>
    </xf>
    <xf numFmtId="183" fontId="55" fillId="19" borderId="0" xfId="0" applyNumberFormat="1" applyFont="1" applyFill="1" applyAlignment="1">
      <alignment horizontal="center" vertical="center"/>
    </xf>
    <xf numFmtId="183" fontId="65" fillId="16" borderId="0" xfId="0" applyNumberFormat="1" applyFont="1" applyFill="1" applyAlignment="1">
      <alignment vertical="center"/>
    </xf>
    <xf numFmtId="0" fontId="67" fillId="16" borderId="0" xfId="0" applyFont="1" applyFill="1" applyAlignment="1">
      <alignment vertical="center"/>
    </xf>
    <xf numFmtId="0" fontId="50" fillId="16" borderId="0" xfId="0" applyFont="1" applyFill="1" applyAlignment="1">
      <alignment vertical="center"/>
    </xf>
    <xf numFmtId="0" fontId="63" fillId="16" borderId="0" xfId="0" applyFont="1" applyFill="1" applyAlignment="1">
      <alignment horizontal="left" vertical="center" indent="1"/>
    </xf>
    <xf numFmtId="0" fontId="0" fillId="0" borderId="0" xfId="0" applyAlignment="1">
      <alignment horizontal="center"/>
    </xf>
    <xf numFmtId="0" fontId="53" fillId="21" borderId="0" xfId="13" applyFont="1" applyFill="1" applyBorder="1" applyAlignment="1">
      <alignment horizontal="left" vertical="center" wrapText="1" indent="1"/>
    </xf>
    <xf numFmtId="186" fontId="54" fillId="21" borderId="0" xfId="0" applyNumberFormat="1" applyFont="1" applyFill="1" applyAlignment="1">
      <alignment horizontal="center" vertical="center"/>
    </xf>
    <xf numFmtId="0" fontId="53" fillId="22" borderId="0" xfId="13" applyFont="1" applyFill="1" applyBorder="1" applyAlignment="1">
      <alignment horizontal="left" vertical="center" wrapText="1" indent="1"/>
    </xf>
    <xf numFmtId="186" fontId="54" fillId="22" borderId="0" xfId="0" applyNumberFormat="1" applyFont="1" applyFill="1" applyAlignment="1">
      <alignment horizontal="center" vertical="center"/>
    </xf>
    <xf numFmtId="0" fontId="53" fillId="23" borderId="0" xfId="13" applyFont="1" applyFill="1" applyBorder="1" applyAlignment="1">
      <alignment horizontal="left" vertical="center" wrapText="1" indent="1"/>
    </xf>
    <xf numFmtId="186" fontId="55" fillId="23" borderId="0" xfId="0" applyNumberFormat="1" applyFont="1" applyFill="1" applyAlignment="1">
      <alignment horizontal="center" vertical="center"/>
    </xf>
    <xf numFmtId="0" fontId="68" fillId="0" borderId="0" xfId="60" applyFont="1" applyAlignment="1"/>
    <xf numFmtId="0" fontId="68" fillId="0" borderId="0" xfId="60" applyFont="1" applyAlignment="1">
      <alignment vertical="center"/>
    </xf>
    <xf numFmtId="0" fontId="69" fillId="0" borderId="34" xfId="57" applyFont="1" applyBorder="1"/>
    <xf numFmtId="0" fontId="68" fillId="0" borderId="34" xfId="60" applyFont="1" applyBorder="1" applyAlignment="1">
      <alignment vertical="center"/>
    </xf>
    <xf numFmtId="0" fontId="70" fillId="0" borderId="34" xfId="60" applyFont="1" applyBorder="1" applyAlignment="1">
      <alignment horizontal="right"/>
    </xf>
    <xf numFmtId="0" fontId="68" fillId="16" borderId="19" xfId="60" applyFont="1" applyFill="1" applyBorder="1" applyAlignment="1">
      <alignment vertical="center"/>
    </xf>
    <xf numFmtId="0" fontId="71" fillId="0" borderId="0" xfId="52" applyFont="1"/>
    <xf numFmtId="3" fontId="72" fillId="0" borderId="35" xfId="60" applyNumberFormat="1" applyFont="1" applyBorder="1" applyAlignment="1">
      <alignment horizontal="right" wrapText="1" indent="1"/>
    </xf>
    <xf numFmtId="176" fontId="73" fillId="0" borderId="35" xfId="49" applyFont="1" applyAlignment="1">
      <alignment horizontal="right" vertical="center" wrapText="1" indent="1"/>
    </xf>
    <xf numFmtId="176" fontId="74" fillId="16" borderId="36" xfId="60" applyNumberFormat="1" applyFont="1" applyFill="1" applyBorder="1" applyAlignment="1">
      <alignment horizontal="right" vertical="center" wrapText="1" indent="1"/>
    </xf>
    <xf numFmtId="3" fontId="74" fillId="0" borderId="35" xfId="60" applyNumberFormat="1" applyFont="1" applyBorder="1" applyAlignment="1">
      <alignment horizontal="right" vertical="center" wrapText="1" indent="1"/>
    </xf>
    <xf numFmtId="14" fontId="38" fillId="0" borderId="0" xfId="60" applyNumberFormat="1" applyFont="1" applyAlignment="1">
      <alignment horizontal="left" vertical="center" indent="1"/>
    </xf>
    <xf numFmtId="3" fontId="38" fillId="0" borderId="37" xfId="60" applyNumberFormat="1" applyFont="1" applyBorder="1" applyAlignment="1">
      <alignment horizontal="right" wrapText="1" indent="1"/>
    </xf>
    <xf numFmtId="187" fontId="38" fillId="0" borderId="37" xfId="60" applyNumberFormat="1" applyFont="1" applyBorder="1" applyAlignment="1">
      <alignment horizontal="right" wrapText="1" indent="1"/>
    </xf>
    <xf numFmtId="187" fontId="72" fillId="16" borderId="36" xfId="60" applyNumberFormat="1" applyFont="1" applyFill="1" applyBorder="1" applyAlignment="1">
      <alignment horizontal="right" wrapText="1" indent="1"/>
    </xf>
    <xf numFmtId="3" fontId="38" fillId="0" borderId="0" xfId="60" applyNumberFormat="1" applyFont="1" applyAlignment="1">
      <alignment horizontal="right" wrapText="1" indent="1"/>
    </xf>
    <xf numFmtId="187" fontId="72" fillId="0" borderId="0" xfId="60" applyNumberFormat="1" applyFont="1" applyAlignment="1">
      <alignment horizontal="right" wrapText="1" indent="1"/>
    </xf>
    <xf numFmtId="187" fontId="72" fillId="16" borderId="21" xfId="60" applyNumberFormat="1" applyFont="1" applyFill="1" applyBorder="1" applyAlignment="1">
      <alignment horizontal="right" wrapText="1" indent="1"/>
    </xf>
    <xf numFmtId="3" fontId="72" fillId="0" borderId="0" xfId="60" applyNumberFormat="1" applyFont="1" applyAlignment="1">
      <alignment horizontal="right" wrapText="1" indent="1"/>
    </xf>
    <xf numFmtId="177" fontId="75" fillId="0" borderId="38" xfId="52" applyNumberFormat="1" applyFont="1" applyBorder="1" applyAlignment="1">
      <alignment horizontal="left" vertical="center"/>
    </xf>
    <xf numFmtId="177" fontId="38" fillId="0" borderId="39" xfId="60" applyNumberFormat="1" applyFont="1" applyBorder="1" applyAlignment="1">
      <alignment horizontal="right" vertical="center"/>
    </xf>
    <xf numFmtId="177" fontId="38" fillId="16" borderId="36" xfId="60" applyNumberFormat="1" applyFont="1" applyFill="1" applyBorder="1" applyAlignment="1">
      <alignment horizontal="right"/>
    </xf>
    <xf numFmtId="0" fontId="70" fillId="0" borderId="39" xfId="60" applyFont="1" applyBorder="1" applyAlignment="1">
      <alignment vertical="center"/>
    </xf>
    <xf numFmtId="0" fontId="68" fillId="16" borderId="21" xfId="60" applyFont="1" applyFill="1" applyBorder="1" applyAlignment="1">
      <alignment vertical="center"/>
    </xf>
    <xf numFmtId="0" fontId="76" fillId="0" borderId="0" xfId="52" applyFont="1" applyAlignment="1">
      <alignment vertical="center"/>
    </xf>
    <xf numFmtId="177" fontId="77" fillId="0" borderId="0" xfId="60" applyNumberFormat="1" applyFont="1" applyAlignment="1">
      <alignment horizontal="left" vertical="center" indent="1"/>
    </xf>
    <xf numFmtId="177" fontId="68" fillId="0" borderId="0" xfId="60" applyNumberFormat="1" applyFont="1" applyAlignment="1">
      <alignment horizontal="right" vertical="center"/>
    </xf>
    <xf numFmtId="177" fontId="68" fillId="16" borderId="21" xfId="60" applyNumberFormat="1" applyFont="1" applyFill="1" applyBorder="1" applyAlignment="1">
      <alignment vertical="center"/>
    </xf>
    <xf numFmtId="177" fontId="68" fillId="0" borderId="0" xfId="60" applyNumberFormat="1" applyFont="1" applyAlignment="1">
      <alignment vertical="center"/>
    </xf>
    <xf numFmtId="0" fontId="68" fillId="16" borderId="20" xfId="60" applyFont="1" applyFill="1" applyBorder="1" applyAlignment="1">
      <alignment vertical="center"/>
    </xf>
    <xf numFmtId="177" fontId="3" fillId="0" borderId="0" xfId="0" applyNumberFormat="1" applyFont="1" applyAlignment="1">
      <alignment horizontal="left" vertical="center" indent="1"/>
    </xf>
    <xf numFmtId="0" fontId="68" fillId="16" borderId="40" xfId="0" applyFont="1" applyFill="1" applyBorder="1" applyAlignment="1">
      <alignment vertical="center"/>
    </xf>
    <xf numFmtId="177" fontId="68" fillId="0" borderId="0" xfId="0" applyNumberFormat="1" applyFont="1" applyAlignment="1">
      <alignment vertical="center"/>
    </xf>
    <xf numFmtId="177" fontId="68" fillId="16" borderId="21" xfId="0" applyNumberFormat="1" applyFont="1" applyFill="1" applyBorder="1" applyAlignment="1">
      <alignment vertical="center"/>
    </xf>
    <xf numFmtId="0" fontId="68" fillId="0" borderId="0" xfId="0" applyFont="1" applyAlignment="1">
      <alignment vertical="center"/>
    </xf>
    <xf numFmtId="177" fontId="76" fillId="24" borderId="38" xfId="52" applyNumberFormat="1" applyFont="1" applyFill="1" applyBorder="1" applyAlignment="1">
      <alignment horizontal="left" vertical="center"/>
    </xf>
    <xf numFmtId="0" fontId="68" fillId="16" borderId="0" xfId="60" applyFont="1" applyFill="1" applyAlignment="1">
      <alignment vertical="center"/>
    </xf>
    <xf numFmtId="177" fontId="38" fillId="24" borderId="39" xfId="50" applyFont="1" applyAlignment="1">
      <alignment vertical="center"/>
    </xf>
    <xf numFmtId="177" fontId="38" fillId="16" borderId="41" xfId="60" applyNumberFormat="1" applyFont="1" applyFill="1" applyBorder="1" applyAlignment="1">
      <alignment vertical="center"/>
    </xf>
    <xf numFmtId="0" fontId="68" fillId="0" borderId="39" xfId="60" applyFont="1" applyBorder="1" applyAlignment="1">
      <alignment vertical="center"/>
    </xf>
    <xf numFmtId="0" fontId="68" fillId="0" borderId="0" xfId="60" applyFont="1" applyAlignment="1">
      <alignment horizontal="left" vertical="center" indent="1"/>
    </xf>
    <xf numFmtId="0" fontId="76" fillId="0" borderId="0" xfId="52" applyFont="1" applyAlignment="1">
      <alignment horizontal="left"/>
    </xf>
    <xf numFmtId="0" fontId="77" fillId="0" borderId="0" xfId="60" applyFont="1" applyAlignment="1">
      <alignment horizontal="left" vertical="center" indent="1"/>
    </xf>
    <xf numFmtId="3" fontId="68" fillId="0" borderId="0" xfId="60" applyNumberFormat="1" applyFont="1" applyAlignment="1">
      <alignment vertical="center"/>
    </xf>
    <xf numFmtId="0" fontId="68" fillId="0" borderId="0" xfId="0" applyFont="1" applyAlignment="1">
      <alignment horizontal="left" vertical="center" indent="1"/>
    </xf>
    <xf numFmtId="0" fontId="68" fillId="16" borderId="21" xfId="0" applyFont="1" applyFill="1" applyBorder="1" applyAlignment="1">
      <alignment vertical="center"/>
    </xf>
    <xf numFmtId="0" fontId="68" fillId="0" borderId="0" xfId="0" applyFont="1"/>
    <xf numFmtId="0" fontId="68" fillId="0" borderId="0" xfId="60" applyFont="1" applyAlignment="1">
      <alignment horizontal="center"/>
    </xf>
    <xf numFmtId="3" fontId="68" fillId="16" borderId="21" xfId="60" applyNumberFormat="1" applyFont="1" applyFill="1" applyBorder="1" applyAlignment="1">
      <alignment vertical="center"/>
    </xf>
    <xf numFmtId="0" fontId="70" fillId="0" borderId="38" xfId="60" applyFont="1" applyBorder="1" applyAlignment="1"/>
    <xf numFmtId="0" fontId="78" fillId="0" borderId="0" xfId="0" applyFont="1" applyAlignment="1">
      <alignment horizontal="center" vertical="center"/>
    </xf>
    <xf numFmtId="188" fontId="78" fillId="0" borderId="0" xfId="0" applyNumberFormat="1" applyFont="1" applyAlignment="1">
      <alignment horizontal="center" vertical="center"/>
    </xf>
    <xf numFmtId="189" fontId="78" fillId="0" borderId="0" xfId="0" applyNumberFormat="1" applyFont="1" applyAlignment="1">
      <alignment horizontal="center" vertical="center"/>
    </xf>
    <xf numFmtId="190" fontId="79" fillId="0" borderId="0" xfId="0" applyNumberFormat="1" applyFont="1" applyAlignment="1">
      <alignment horizontal="center" vertical="center"/>
    </xf>
    <xf numFmtId="0" fontId="80" fillId="0" borderId="0" xfId="0" applyFont="1" applyAlignment="1">
      <alignment horizontal="center" vertical="center"/>
    </xf>
    <xf numFmtId="0" fontId="81" fillId="0" borderId="0" xfId="0" applyFont="1" applyAlignment="1">
      <alignment horizontal="center" vertical="center"/>
    </xf>
    <xf numFmtId="188" fontId="80" fillId="0" borderId="0" xfId="0" applyNumberFormat="1" applyFont="1" applyAlignment="1">
      <alignment horizontal="center" vertical="center"/>
    </xf>
    <xf numFmtId="189" fontId="80" fillId="0" borderId="0" xfId="0" applyNumberFormat="1" applyFont="1" applyAlignment="1">
      <alignment horizontal="center" vertical="center"/>
    </xf>
    <xf numFmtId="0" fontId="82" fillId="25" borderId="42" xfId="0" applyFont="1" applyFill="1" applyBorder="1" applyAlignment="1">
      <alignment horizontal="center" vertical="center"/>
    </xf>
    <xf numFmtId="188" fontId="82" fillId="25" borderId="42" xfId="0" applyNumberFormat="1" applyFont="1" applyFill="1" applyBorder="1" applyAlignment="1">
      <alignment horizontal="center" vertical="center"/>
    </xf>
    <xf numFmtId="0" fontId="0" fillId="0" borderId="43" xfId="0" applyBorder="1"/>
    <xf numFmtId="0" fontId="0" fillId="0" borderId="44" xfId="0" applyBorder="1"/>
    <xf numFmtId="191" fontId="83" fillId="26" borderId="45" xfId="0" applyNumberFormat="1" applyFont="1" applyFill="1" applyBorder="1" applyAlignment="1">
      <alignment horizontal="left" vertical="center"/>
    </xf>
    <xf numFmtId="0" fontId="0" fillId="0" borderId="46" xfId="0" applyBorder="1"/>
    <xf numFmtId="0" fontId="0" fillId="0" borderId="47" xfId="0" applyBorder="1"/>
    <xf numFmtId="189" fontId="82" fillId="25" borderId="42" xfId="0" applyNumberFormat="1" applyFont="1" applyFill="1" applyBorder="1" applyAlignment="1">
      <alignment horizontal="center" vertical="center"/>
    </xf>
    <xf numFmtId="0" fontId="0" fillId="0" borderId="48" xfId="0" applyBorder="1"/>
    <xf numFmtId="0" fontId="0" fillId="0" borderId="49" xfId="0" applyBorder="1"/>
    <xf numFmtId="0" fontId="78" fillId="0" borderId="42" xfId="0" applyFont="1" applyBorder="1" applyAlignment="1">
      <alignment horizontal="center" vertical="center"/>
    </xf>
    <xf numFmtId="188" fontId="78" fillId="0" borderId="42" xfId="0" applyNumberFormat="1" applyFont="1" applyBorder="1" applyAlignment="1">
      <alignment horizontal="center" vertical="center"/>
    </xf>
    <xf numFmtId="192" fontId="84" fillId="0" borderId="42" xfId="0" applyNumberFormat="1" applyFont="1" applyBorder="1" applyAlignment="1">
      <alignment horizontal="center" vertical="center"/>
    </xf>
    <xf numFmtId="0" fontId="78" fillId="0" borderId="42" xfId="0" applyFont="1" applyBorder="1" applyAlignment="1">
      <alignment horizontal="center" vertical="center" wrapText="1"/>
    </xf>
    <xf numFmtId="190" fontId="79" fillId="0" borderId="42" xfId="0" applyNumberFormat="1" applyFont="1" applyBorder="1" applyAlignment="1">
      <alignment horizontal="center" vertical="center"/>
    </xf>
    <xf numFmtId="193" fontId="85" fillId="26" borderId="50" xfId="0" applyNumberFormat="1" applyFont="1" applyFill="1" applyBorder="1" applyAlignment="1">
      <alignment horizontal="left" vertical="center"/>
    </xf>
    <xf numFmtId="188" fontId="86" fillId="0" borderId="42" xfId="0" applyNumberFormat="1" applyFont="1" applyBorder="1" applyAlignment="1">
      <alignment horizontal="center" vertical="center"/>
    </xf>
    <xf numFmtId="0" fontId="87" fillId="26" borderId="50" xfId="0" applyFont="1" applyFill="1" applyBorder="1" applyAlignment="1">
      <alignment horizontal="left" vertical="center"/>
    </xf>
    <xf numFmtId="192" fontId="88" fillId="26" borderId="50" xfId="0" applyNumberFormat="1" applyFont="1" applyFill="1" applyBorder="1" applyAlignment="1">
      <alignment horizontal="left" vertical="center"/>
    </xf>
    <xf numFmtId="190" fontId="89" fillId="26" borderId="50" xfId="0" applyNumberFormat="1" applyFont="1" applyFill="1" applyBorder="1" applyAlignment="1">
      <alignment horizontal="left" vertical="center"/>
    </xf>
    <xf numFmtId="194" fontId="90" fillId="26" borderId="50" xfId="0" applyNumberFormat="1" applyFont="1" applyFill="1" applyBorder="1" applyAlignment="1">
      <alignment horizontal="left" vertical="center"/>
    </xf>
    <xf numFmtId="0" fontId="91" fillId="26" borderId="50" xfId="0" applyFont="1" applyFill="1" applyBorder="1" applyAlignment="1">
      <alignment horizontal="left" vertical="center"/>
    </xf>
    <xf numFmtId="0" fontId="82" fillId="26" borderId="50" xfId="0" applyFont="1" applyFill="1" applyBorder="1" applyAlignment="1">
      <alignment horizontal="left" vertical="center"/>
    </xf>
    <xf numFmtId="188" fontId="92" fillId="26" borderId="51" xfId="0" applyNumberFormat="1" applyFont="1" applyFill="1" applyBorder="1" applyAlignment="1">
      <alignment horizontal="left" vertical="center"/>
    </xf>
    <xf numFmtId="0" fontId="0" fillId="0" borderId="52" xfId="0" applyBorder="1"/>
    <xf numFmtId="0" fontId="80" fillId="26" borderId="48" xfId="0" applyFont="1" applyFill="1" applyBorder="1" applyAlignment="1">
      <alignment horizontal="center" vertical="center"/>
    </xf>
    <xf numFmtId="0" fontId="80" fillId="26" borderId="49" xfId="0" applyFont="1" applyFill="1" applyBorder="1" applyAlignment="1">
      <alignment horizontal="center" vertical="center"/>
    </xf>
    <xf numFmtId="0" fontId="80" fillId="26" borderId="53" xfId="0" applyFont="1" applyFill="1" applyBorder="1" applyAlignment="1">
      <alignment horizontal="center" vertical="center"/>
    </xf>
    <xf numFmtId="0" fontId="80" fillId="26" borderId="54" xfId="0" applyFont="1" applyFill="1" applyBorder="1" applyAlignment="1">
      <alignment horizontal="center" vertical="center"/>
    </xf>
    <xf numFmtId="0" fontId="80" fillId="26" borderId="0" xfId="0" applyFont="1" applyFill="1" applyAlignment="1">
      <alignment horizontal="center" vertical="center"/>
    </xf>
  </cellXfs>
  <cellStyles count="7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Month" xfId="49"/>
    <cellStyle name="Totals" xfId="50"/>
    <cellStyle name="百分比 2" xfId="51"/>
    <cellStyle name="标题 1 2" xfId="52"/>
    <cellStyle name="标题 1 3" xfId="53"/>
    <cellStyle name="标题 2 2" xfId="54"/>
    <cellStyle name="标题 2 3" xfId="55"/>
    <cellStyle name="标题 3 2" xfId="56"/>
    <cellStyle name="标题 5" xfId="57"/>
    <cellStyle name="标题 6" xfId="58"/>
    <cellStyle name="表格详细信息" xfId="59"/>
    <cellStyle name="常规 2" xfId="60"/>
    <cellStyle name="常规 3" xfId="61"/>
    <cellStyle name="常规 4" xfId="62"/>
    <cellStyle name="常规 5" xfId="63"/>
    <cellStyle name="电话" xfId="64"/>
    <cellStyle name="货币[0] 2" xfId="65"/>
    <cellStyle name="强调 1" xfId="66"/>
    <cellStyle name="强调 2" xfId="67"/>
    <cellStyle name="日期" xfId="68"/>
    <cellStyle name="填写收入" xfId="69"/>
    <cellStyle name="填写销售成本" xfId="70"/>
    <cellStyle name="填写支出" xfId="71"/>
  </cellStyles>
  <dxfs count="313">
    <dxf>
      <font>
        <name val="Microsoft YaHei UI"/>
        <scheme val="none"/>
        <strike val="0"/>
        <sz val="10"/>
        <color theme="1" tint="0.499984740745262"/>
      </font>
      <numFmt numFmtId="177" formatCode="0_);\!\-0_)"/>
      <alignment horizontal="left" vertical="center" indent="1"/>
    </dxf>
    <dxf>
      <font>
        <name val="Microsoft YaHei UI"/>
        <scheme val="none"/>
        <strike val="0"/>
      </font>
      <fill>
        <patternFill patternType="solid">
          <bgColor theme="0"/>
        </patternFill>
      </fill>
      <border>
        <left/>
        <right/>
        <top style="thin">
          <color theme="0"/>
        </top>
        <bottom style="thin">
          <color theme="0"/>
        </bottom>
      </border>
    </dxf>
    <dxf>
      <font>
        <name val="Microsoft YaHei UI"/>
        <scheme val="none"/>
        <strike val="0"/>
      </font>
      <alignment horizontal="right" vertical="center"/>
    </dxf>
    <dxf>
      <font>
        <name val="Microsoft YaHei UI"/>
        <scheme val="none"/>
        <charset val="134"/>
        <family val="2"/>
        <strike val="0"/>
        <color theme="1" tint="0.149937437055574"/>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fill>
        <patternFill patternType="solid">
          <bgColor theme="0"/>
        </patternFill>
      </fill>
      <border>
        <left/>
        <right/>
        <top style="thin">
          <color theme="0"/>
        </top>
        <bottom style="thin">
          <color theme="0"/>
        </bottom>
      </border>
    </dxf>
    <dxf>
      <font>
        <name val="Microsoft YaHei UI"/>
        <scheme val="none"/>
        <strike val="0"/>
      </font>
      <numFmt numFmtId="177" formatCode="0_);\!\-0_)"/>
    </dxf>
    <dxf>
      <font>
        <name val="Microsoft YaHei UI"/>
        <scheme val="none"/>
        <strike val="0"/>
      </font>
    </dxf>
    <dxf>
      <font>
        <name val="Microsoft YaHei UI"/>
        <scheme val="none"/>
        <charset val="134"/>
        <family val="2"/>
        <strike val="0"/>
        <sz val="10"/>
        <color theme="1" tint="0.499984740745262"/>
      </font>
      <alignment horizontal="left" vertical="center" indent="1"/>
    </dxf>
    <dxf>
      <font>
        <name val="Microsoft YaHei UI"/>
        <scheme val="none"/>
        <strike val="0"/>
      </font>
      <fill>
        <patternFill patternType="solid">
          <bgColor theme="0"/>
        </patternFill>
      </fill>
      <border>
        <left/>
        <right/>
        <top style="thin">
          <color theme="0"/>
        </top>
        <bottom style="thin">
          <color theme="0"/>
        </bottom>
      </bord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sz val="10"/>
        <color theme="1" tint="0.149937437055574"/>
      </font>
      <numFmt numFmtId="3" formatCode="#,##0"/>
      <border>
        <left/>
        <right/>
        <top style="thin">
          <color theme="0"/>
        </top>
        <bottom style="thin">
          <color theme="0"/>
        </bottom>
      </border>
    </dxf>
    <dxf>
      <font>
        <name val="Microsoft YaHei UI"/>
        <scheme val="none"/>
        <strike val="0"/>
      </font>
      <numFmt numFmtId="177" formatCode="0_);\!\-0_)"/>
    </dxf>
    <dxf>
      <font>
        <name val="Microsoft YaHei UI"/>
        <scheme val="none"/>
        <charset val="134"/>
        <family val="2"/>
        <strike val="0"/>
        <color theme="1" tint="0.149937437055574"/>
      </font>
      <numFmt numFmtId="0" formatCode="General"/>
    </dxf>
    <dxf>
      <font>
        <name val="Microsoft YaHei UI"/>
        <scheme val="none"/>
        <strike val="0"/>
        <sz val="10"/>
        <color theme="1" tint="0.499984740745262"/>
      </font>
      <alignment horizontal="left" vertical="center" indent="1"/>
    </dxf>
    <dxf>
      <font>
        <name val="Microsoft YaHei UI"/>
        <scheme val="none"/>
        <strike val="0"/>
      </font>
      <fill>
        <patternFill patternType="solid">
          <bgColor theme="0"/>
        </patternFill>
      </fill>
      <border>
        <left/>
        <right/>
        <top style="thin">
          <color theme="0"/>
        </top>
        <bottom style="thin">
          <color theme="0"/>
        </bottom>
      </bord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sz val="10"/>
        <color theme="1" tint="0.149937437055574"/>
      </font>
      <numFmt numFmtId="177" formatCode="0_);\!\-0_)"/>
      <border>
        <left/>
        <right/>
        <top style="thin">
          <color theme="0"/>
        </top>
        <bottom style="thin">
          <color theme="0"/>
        </bottom>
      </border>
    </dxf>
    <dxf>
      <font>
        <name val="Microsoft YaHei UI"/>
        <scheme val="none"/>
        <strike val="0"/>
      </font>
    </dxf>
    <dxf>
      <font>
        <name val="Microsoft YaHei UI"/>
        <scheme val="none"/>
        <strike val="0"/>
      </font>
    </dxf>
    <dxf>
      <font>
        <name val="Microsoft YaHei UI"/>
        <scheme val="none"/>
        <strike val="0"/>
        <sz val="10"/>
        <color theme="1" tint="0.499984740745262"/>
      </font>
      <alignment horizontal="left" vertical="center" indent="1"/>
    </dxf>
    <dxf>
      <font>
        <name val="Microsoft YaHei UI"/>
        <scheme val="none"/>
        <strike val="0"/>
      </font>
      <fill>
        <patternFill patternType="solid">
          <bgColor theme="0"/>
        </patternFill>
      </fill>
      <border>
        <left/>
        <right/>
        <top style="thin">
          <color theme="0"/>
        </top>
        <bottom style="thin">
          <color theme="0"/>
        </bottom>
      </bord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sz val="10"/>
        <color theme="1" tint="0.149937437055574"/>
      </font>
      <numFmt numFmtId="177" formatCode="0_);\!\-0_)"/>
      <border>
        <left/>
        <right/>
        <top style="thin">
          <color theme="0"/>
        </top>
        <bottom style="thin">
          <color theme="0"/>
        </bottom>
      </border>
    </dxf>
    <dxf>
      <font>
        <name val="Microsoft YaHei UI"/>
        <scheme val="none"/>
        <strike val="0"/>
      </font>
    </dxf>
    <dxf>
      <font>
        <name val="Microsoft YaHei UI"/>
        <scheme val="none"/>
        <strike val="0"/>
      </font>
    </dxf>
    <dxf>
      <font>
        <name val="Microsoft YaHei UI"/>
        <scheme val="none"/>
        <charset val="134"/>
        <family val="2"/>
        <strike val="0"/>
        <sz val="10"/>
        <color theme="1" tint="0.499984740745262"/>
      </font>
      <alignment horizontal="left" vertical="center" indent="1"/>
    </dxf>
    <dxf>
      <font>
        <name val="Microsoft YaHei UI"/>
        <scheme val="none"/>
        <strike val="0"/>
      </font>
      <fill>
        <patternFill patternType="solid">
          <bgColor theme="0"/>
        </patternFill>
      </fill>
      <border>
        <left/>
        <right/>
        <top style="thin">
          <color theme="0"/>
        </top>
        <bottom style="thin">
          <color theme="0"/>
        </bottom>
      </border>
    </dxf>
    <dxf>
      <font>
        <name val="Microsoft YaHei UI"/>
        <scheme val="none"/>
        <charset val="134"/>
        <family val="2"/>
        <strike val="0"/>
        <color theme="1" tint="0.149937437055574"/>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font>
      <numFmt numFmtId="177" formatCode="0_);\!\-0_)"/>
      <alignment horizontal="right" vertical="center"/>
    </dxf>
    <dxf>
      <font>
        <name val="Microsoft YaHei UI"/>
        <scheme val="none"/>
        <strike val="0"/>
        <sz val="10"/>
        <color theme="1" tint="0.149937437055574"/>
      </font>
      <numFmt numFmtId="177" formatCode="0_);\!\-0_)"/>
      <border>
        <left/>
        <right/>
        <top style="thin">
          <color theme="0"/>
        </top>
        <bottom style="thin">
          <color theme="0"/>
        </bottom>
      </border>
    </dxf>
    <dxf>
      <font>
        <name val="Microsoft YaHei UI"/>
        <scheme val="none"/>
        <strike val="0"/>
      </font>
    </dxf>
    <dxf>
      <font>
        <name val="Microsoft YaHei UI"/>
        <scheme val="none"/>
        <strike val="0"/>
      </font>
    </dxf>
    <dxf>
      <font>
        <color rgb="FFFF0000"/>
      </font>
    </dxf>
    <dxf>
      <font>
        <name val="Calibri"/>
        <scheme val="none"/>
        <strike val="0"/>
        <sz val="12"/>
        <color theme="1" tint="0.349986266670736"/>
      </font>
    </dxf>
    <dxf>
      <font>
        <name val="Calibri"/>
        <scheme val="none"/>
        <strike val="0"/>
        <sz val="12"/>
        <color theme="1" tint="0.349986266670736"/>
      </font>
    </dxf>
    <dxf>
      <font>
        <name val="Calibri"/>
        <scheme val="none"/>
        <strike val="0"/>
        <sz val="12"/>
        <color theme="1" tint="0.349986266670736"/>
      </font>
    </dxf>
    <dxf>
      <font>
        <name val="Calibri"/>
        <scheme val="none"/>
        <strike val="0"/>
        <sz val="12"/>
        <color theme="1" tint="0.349986266670736"/>
      </font>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249946592608417"/>
      </font>
      <fill>
        <patternFill patternType="solid">
          <bgColor theme="0"/>
        </patternFill>
      </fill>
      <alignment vertical="center"/>
    </dxf>
    <dxf>
      <font>
        <name val="Calibri"/>
        <scheme val="none"/>
        <strike val="0"/>
        <sz val="12"/>
        <color theme="1" tint="0.249946592608417"/>
      </font>
      <numFmt numFmtId="183" formatCode="\¥#,##0.00;\¥\-#,##0.00"/>
      <fill>
        <patternFill patternType="solid">
          <bgColor theme="0"/>
        </patternFill>
      </fill>
      <alignment horizontal="center" vertical="center"/>
    </dxf>
    <dxf>
      <font>
        <name val="Calibri"/>
        <scheme val="none"/>
        <strike val="0"/>
        <sz val="12"/>
        <color theme="1" tint="0.249946592608417"/>
      </font>
      <numFmt numFmtId="183" formatCode="\¥#,##0.00;\¥\-#,##0.00"/>
      <fill>
        <patternFill patternType="solid">
          <bgColor theme="0"/>
        </patternFill>
      </fill>
      <alignment horizontal="center" vertical="center"/>
    </dxf>
    <dxf>
      <font>
        <name val="Calibri"/>
        <scheme val="none"/>
        <strike val="0"/>
        <sz val="12"/>
        <color theme="1" tint="0.249946592608417"/>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fill>
        <patternFill patternType="solid">
          <bgColor theme="0"/>
        </patternFill>
      </fill>
      <alignment horizontal="left" vertical="center" indent="1"/>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Calibri"/>
        <scheme val="none"/>
        <strike val="0"/>
        <sz val="12"/>
        <color theme="1" tint="0.349986266670736"/>
      </font>
      <numFmt numFmtId="183" formatCode="\¥#,##0.00;\¥\-#,##0.00"/>
      <fill>
        <patternFill patternType="solid">
          <bgColor theme="0"/>
        </patternFill>
      </fill>
      <alignment horizontal="center" vertical="center"/>
    </dxf>
    <dxf>
      <font>
        <name val="Microsoft YaHei UI"/>
        <scheme val="none"/>
        <charset val="134"/>
        <family val="2"/>
        <strike val="0"/>
        <sz val="10"/>
        <color theme="1"/>
      </font>
      <alignment horizontal="left" vertical="center" indent="1"/>
    </dxf>
    <dxf>
      <font>
        <name val="Microsoft YaHei UI"/>
        <scheme val="none"/>
        <charset val="134"/>
        <family val="2"/>
        <strike val="0"/>
        <color theme="1"/>
      </font>
      <fill>
        <patternFill patternType="solid">
          <bgColor theme="5" tint="0.599993896298105"/>
        </patternFill>
      </fill>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alignment horizontal="center" vertical="center"/>
    </dxf>
    <dxf>
      <font>
        <name val="Microsoft YaHei UI"/>
        <scheme val="none"/>
        <charset val="134"/>
        <family val="2"/>
        <strike val="0"/>
        <sz val="10"/>
        <color auto="1"/>
      </font>
      <numFmt numFmtId="182" formatCode="\¥#,##0.00_);\(\¥#,##0.00\)"/>
      <fill>
        <patternFill patternType="solid">
          <bgColor theme="5" tint="0.599993896298105"/>
        </patternFill>
      </fill>
      <alignment horizontal="center" vertical="center"/>
    </dxf>
    <dxf>
      <font>
        <name val="Microsoft YaHei UI"/>
        <scheme val="none"/>
        <charset val="134"/>
        <family val="2"/>
        <strike val="0"/>
        <sz val="10"/>
        <color auto="1"/>
      </font>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auto="1"/>
      </font>
      <fill>
        <patternFill patternType="solid">
          <bgColor theme="5" tint="0.599993896298105"/>
        </patternFill>
      </fill>
      <alignment horizontal="center" vertical="center"/>
    </dxf>
    <dxf>
      <font>
        <name val="Microsoft YaHei UI"/>
        <scheme val="none"/>
        <charset val="134"/>
        <family val="2"/>
        <strike val="0"/>
        <sz val="10"/>
        <color theme="1"/>
      </font>
      <alignment horizontal="left" vertical="center" indent="1"/>
    </dxf>
    <dxf>
      <font>
        <name val="Microsoft YaHei UI"/>
        <scheme val="none"/>
        <charset val="134"/>
        <family val="2"/>
        <strike val="0"/>
        <sz val="11"/>
        <color theme="1"/>
      </font>
      <alignment horizontal="left" vertical="center"/>
    </dxf>
    <dxf>
      <font>
        <name val="Microsoft YaHei UI"/>
        <scheme val="none"/>
        <charset val="134"/>
        <family val="2"/>
        <strike val="0"/>
        <sz val="10"/>
        <color theme="1"/>
      </font>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sz val="10"/>
        <color theme="1"/>
      </font>
      <numFmt numFmtId="9" formatCode="0%"/>
      <alignment horizontal="center" vertical="center"/>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dxf>
    <dxf>
      <font>
        <name val="Microsoft YaHei UI"/>
        <scheme val="none"/>
        <charset val="134"/>
        <family val="2"/>
        <strike val="0"/>
      </font>
      <alignment wrapText="1"/>
      <border>
        <left style="thin">
          <color theme="0"/>
        </left>
        <right style="thin">
          <color theme="0"/>
        </right>
        <top style="thin">
          <color theme="0"/>
        </top>
        <bottom style="thin">
          <color theme="0"/>
        </bottom>
      </border>
    </dxf>
    <dxf>
      <font>
        <name val="Microsoft YaHei UI"/>
        <scheme val="none"/>
        <charset val="134"/>
        <family val="2"/>
        <strike val="0"/>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font>
      <alignment wrapText="1"/>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font>
      <alignment wrapText="1"/>
      <border>
        <left style="thin">
          <color theme="0"/>
        </left>
        <right style="thin">
          <color theme="0"/>
        </right>
        <top style="thin">
          <color theme="0"/>
        </top>
        <bottom style="thin">
          <color theme="0"/>
        </bottom>
      </border>
    </dxf>
    <dxf>
      <font>
        <name val="Microsoft YaHei UI"/>
        <scheme val="none"/>
        <charset val="134"/>
        <family val="2"/>
        <strike val="0"/>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font>
      <alignment wrapText="1"/>
      <border>
        <left style="thin">
          <color theme="0"/>
        </left>
        <right style="thin">
          <color theme="0"/>
        </right>
        <top style="thin">
          <color theme="0"/>
        </top>
        <bottom style="thin">
          <color theme="0"/>
        </bottom>
      </border>
    </dxf>
    <dxf>
      <font>
        <name val="Microsoft YaHei UI"/>
        <scheme val="none"/>
        <charset val="134"/>
        <family val="2"/>
        <strike val="0"/>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border>
    </dxf>
    <dxf>
      <font>
        <name val="Microsoft YaHei UI"/>
        <scheme val="none"/>
        <charset val="134"/>
        <family val="2"/>
        <strike val="0"/>
      </font>
      <alignment wrapText="1"/>
      <border>
        <left style="thin">
          <color theme="0"/>
        </left>
        <right style="thin">
          <color theme="0"/>
        </right>
        <top style="thin">
          <color theme="0"/>
        </top>
        <bottom style="thin">
          <color theme="0"/>
        </bottom>
      </border>
    </dxf>
    <dxf>
      <font>
        <name val="Microsoft YaHei UI"/>
        <scheme val="none"/>
        <charset val="134"/>
        <family val="2"/>
        <strike val="0"/>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font>
      <alignment wrapText="1"/>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name val="Microsoft YaHei UI"/>
        <scheme val="none"/>
        <charset val="134"/>
        <family val="2"/>
        <strike val="0"/>
        <color theme="1" tint="0.249946592608417"/>
      </font>
      <numFmt numFmtId="43" formatCode="_ * #,##0.00_ ;_ * \-#,##0.00_ ;_ * &quot;-&quot;??_ ;_ @_ "/>
      <border>
        <left style="thin">
          <color theme="0"/>
        </left>
        <right style="thin">
          <color theme="0"/>
        </right>
        <top style="thin">
          <color theme="0"/>
        </top>
        <bottom style="thin">
          <color theme="0"/>
        </bottom>
      </border>
    </dxf>
    <dxf>
      <font>
        <color indexed="10"/>
      </font>
    </dxf>
    <dxf/>
    <dxf>
      <font>
        <color theme="1" tint="0.149937437055574"/>
      </font>
    </dxf>
    <dxf>
      <border>
        <left style="dotted">
          <color theme="0" tint="-0.349986266670736"/>
        </left>
        <right style="dotted">
          <color theme="0" tint="-0.349986266670736"/>
        </right>
        <top style="thin">
          <color theme="0" tint="-0.349986266670736"/>
        </top>
        <bottom style="dotted">
          <color theme="0" tint="-0.349986266670736"/>
        </bottom>
        <vertical/>
        <horizontal/>
      </border>
    </dxf>
    <dxf>
      <font>
        <color theme="1" tint="0.349986266670736"/>
      </font>
    </dxf>
    <dxf>
      <font>
        <color theme="1" tint="0.149937437055574"/>
      </font>
      <fill>
        <patternFill patternType="solid">
          <bgColor theme="4" tint="0.799951170384838"/>
        </patternFill>
      </fill>
      <border>
        <top/>
        <bottom style="medium">
          <color theme="4" tint="0.399914548173467"/>
        </bottom>
      </border>
    </dxf>
    <dxf>
      <font>
        <color theme="1" tint="0.149937437055574"/>
      </font>
    </dxf>
    <dxf>
      <font>
        <color theme="1" tint="0.499984740745262"/>
      </font>
      <border>
        <left/>
        <right style="thin">
          <color theme="0" tint="-0.349986266670736"/>
        </right>
        <top style="thin">
          <color theme="0" tint="-0.349986266670736"/>
        </top>
        <bottom style="thin">
          <color theme="0" tint="-0.349986266670736"/>
        </bottom>
        <vertical style="dotted">
          <color theme="0" tint="-0.349986266670736"/>
        </vertical>
        <horizontal style="thin">
          <color theme="0" tint="-0.349986266670736"/>
        </horizontal>
      </border>
    </dxf>
    <dxf>
      <font>
        <b val="1"/>
      </font>
      <fill>
        <patternFill patternType="solid">
          <bgColor theme="0" tint="-0.0499893185216834"/>
        </patternFill>
      </fill>
      <border>
        <left/>
        <right/>
        <top style="thin">
          <color theme="0" tint="-0.149906918546098"/>
        </top>
        <bottom style="thin">
          <color theme="0" tint="-0.149906918546098"/>
        </bottom>
        <vertical style="thin">
          <color theme="0" tint="-0.149906918546098"/>
        </vertical>
        <horizontal style="thin">
          <color theme="0" tint="-0.149906918546098"/>
        </horizontal>
      </border>
    </dxf>
    <dxf>
      <font>
        <color auto="1"/>
      </font>
      <border>
        <left/>
        <right/>
        <top style="thin">
          <color theme="8"/>
        </top>
        <bottom style="thin">
          <color theme="0" tint="-0.149906918546098"/>
        </bottom>
        <vertical/>
        <horizontal/>
      </border>
    </dxf>
    <dxf>
      <font>
        <color auto="1"/>
      </font>
      <border>
        <left/>
        <right/>
        <top style="thin">
          <color theme="8"/>
        </top>
        <bottom style="thin">
          <color theme="0" tint="-0.149906918546098"/>
        </bottom>
        <vertical style="thin">
          <color theme="0" tint="-0.149906918546098"/>
        </vertical>
        <horizontal style="thin">
          <color theme="0" tint="-0.149906918546098"/>
        </horizontal>
      </border>
    </dxf>
    <dxf>
      <fill>
        <patternFill patternType="solid">
          <fgColor theme="4" tint="0.799920651875362"/>
          <bgColor theme="4" tint="0.799920651875362"/>
        </patternFill>
      </fill>
    </dxf>
    <dxf>
      <fill>
        <patternFill patternType="solid">
          <fgColor theme="4" tint="0.799920651875362"/>
          <bgColor theme="4" tint="0.799920651875362"/>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
        </left>
        <right style="thin">
          <color theme="4" tint="0.399914548173467"/>
        </right>
        <top style="thin">
          <color theme="4" tint="0.399914548173467"/>
        </top>
        <bottom style="thin">
          <color theme="4" tint="0.399914548173467"/>
        </bottom>
        <horizontal style="thin">
          <color theme="4" tint="0.399914548173467"/>
        </horizontal>
      </border>
    </dxf>
    <dxf>
      <border>
        <left/>
        <right style="dotted">
          <color theme="5" tint="0.399884029663991"/>
        </right>
        <top style="thin">
          <color theme="5" tint="0.399914548173467"/>
        </top>
        <bottom style="thin">
          <color theme="5" tint="0.399914548173467"/>
        </bottom>
        <vertical style="dotted">
          <color theme="5" tint="0.399914548173467"/>
        </vertical>
        <horizontal style="thin">
          <color theme="5" tint="0.399914548173467"/>
        </horizontal>
      </border>
    </dxf>
    <dxf>
      <border>
        <left/>
        <right style="dotted">
          <color theme="5" tint="0.399884029663991"/>
        </right>
        <top style="thin">
          <color theme="5" tint="0.399914548173467"/>
        </top>
        <bottom style="thin">
          <color theme="5" tint="0.399914548173467"/>
        </bottom>
        <vertical style="dotted">
          <color theme="5" tint="0.399884029663991"/>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
        </bottom>
        <vertical/>
        <horizontal/>
      </border>
    </dxf>
    <dxf>
      <border>
        <left/>
        <right style="dotted">
          <color theme="4" tint="0.399914548173467"/>
        </right>
        <top style="thin">
          <color theme="4" tint="0.399914548173467"/>
        </top>
        <bottom style="thin">
          <color theme="4" tint="0.399914548173467"/>
        </bottom>
        <vertical style="dotted">
          <color theme="4" tint="0.399914548173467"/>
        </vertical>
        <horizontal style="thin">
          <color theme="4" tint="0.399914548173467"/>
        </horizontal>
      </border>
    </dxf>
    <dxf>
      <border>
        <left/>
        <right style="dotted">
          <color theme="4" tint="0.399914548173467"/>
        </right>
        <top style="thin">
          <color theme="4" tint="0.399914548173467"/>
        </top>
        <bottom style="thin">
          <color theme="4" tint="0.399914548173467"/>
        </bottom>
        <vertical style="dotted">
          <color theme="4" tint="0.399914548173467"/>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
        </bottom>
        <vertical/>
        <horizontal/>
      </border>
    </dxf>
    <dxf>
      <font>
        <b val="1"/>
        <color theme="0"/>
      </font>
      <fill>
        <patternFill patternType="solid">
          <bgColor theme="1"/>
        </patternFill>
      </fill>
      <border>
        <left/>
        <right/>
        <top style="thick">
          <color theme="6" tint="0.799951170384838"/>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
        </top>
        <bottom style="thin">
          <color theme="6" tint="0.799951170384838"/>
        </bottom>
        <vertical style="dotted">
          <color theme="6" tint="0.799951170384838"/>
        </vertical>
        <horizontal style="thin">
          <color theme="6" tint="0.799951170384838"/>
        </horizontal>
      </border>
    </dxf>
  </dxfs>
  <tableStyles count="6" defaultTableStyle="TableStyleMedium2" defaultPivotStyle="PivotStyleLight16">
    <tableStyle name="Cash Receipts" pivot="0" count="7" xr9:uid="{0DCAC8C2-B8C7-B5A7-37EB-0F6AAC6D5BD7}">
      <tableStyleElement type="wholeTable" dxfId="291"/>
      <tableStyleElement type="headerRow" dxfId="290"/>
      <tableStyleElement type="totalRow" dxfId="289"/>
      <tableStyleElement type="firstColumn" dxfId="288"/>
      <tableStyleElement type="lastColumn" dxfId="287"/>
      <tableStyleElement type="firstTotalCell" dxfId="286"/>
      <tableStyleElement type="lastTotalCell" dxfId="285"/>
    </tableStyle>
    <tableStyle name="通讯簿" pivot="0" count="3" xr9:uid="{15FF71DF-574E-1225-37EB-0F6A100EF0C7}">
      <tableStyleElement type="wholeTable" dxfId="294"/>
      <tableStyleElement type="headerRow" dxfId="293"/>
      <tableStyleElement type="totalRow" dxfId="292"/>
    </tableStyle>
    <tableStyle name="个人月度预算" pivot="0" count="7" xr9:uid="{36EF7CD9-E752-FE6A-37EB-0F6A8B82AF72}">
      <tableStyleElement type="wholeTable" dxfId="301"/>
      <tableStyleElement type="headerRow" dxfId="300"/>
      <tableStyleElement type="totalRow" dxfId="299"/>
      <tableStyleElement type="firstColumn" dxfId="298"/>
      <tableStyleElement type="lastColumn" dxfId="297"/>
      <tableStyleElement type="firstRowStripe" dxfId="296"/>
      <tableStyleElement type="firstColumnStripe" dxfId="295"/>
    </tableStyle>
    <tableStyle name="损益收入" pivot="0" count="4" xr9:uid="{A23F3E3C-15AD-DB24-37EB-0F6AA0031B14}">
      <tableStyleElement type="headerRow" dxfId="305"/>
      <tableStyleElement type="totalRow" dxfId="304"/>
      <tableStyleElement type="firstRowStripe" dxfId="303"/>
      <tableStyleElement type="secondRowStripe" dxfId="302"/>
    </tableStyle>
    <tableStyle name="损益销售额" pivot="0" count="4" xr9:uid="{505C5E6A-B26E-64F2-37EB-0F6A8ED3D5C2}">
      <tableStyleElement type="headerRow" dxfId="309"/>
      <tableStyleElement type="totalRow" dxfId="308"/>
      <tableStyleElement type="firstRowStripe" dxfId="307"/>
      <tableStyleElement type="secondRowStripe" dxfId="306"/>
    </tableStyle>
    <tableStyle name="自定义" pivot="0" count="3" xr9:uid="{47DB7640-7F5B-A0B6-37EB-0F6A8102ED79}">
      <tableStyleElement type="wholeTable" dxfId="312"/>
      <tableStyleElement type="headerRow" dxfId="311"/>
      <tableStyleElement type="totalRow" dxfId="3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endParaRPr lang="en-US"/>
          </a:p>
        </c:rich>
      </c:tx>
      <c:layout/>
      <c:overlay val="0"/>
    </c:title>
    <c:autoTitleDeleted val="0"/>
    <c:plotArea>
      <c:layout>
        <c:manualLayout>
          <c:layoutTarget val="inner"/>
          <c:xMode val="edge"/>
          <c:yMode val="edge"/>
          <c:x val="0.0410609538383068"/>
          <c:y val="0.102894736842105"/>
          <c:w val="0.941851568477429"/>
          <c:h val="0.509473684210526"/>
        </c:manualLayout>
      </c:layout>
      <c:barChart>
        <c:barDir val="col"/>
        <c:grouping val="clustered"/>
        <c:varyColors val="0"/>
        <c:ser>
          <c:idx val="0"/>
          <c:order val="0"/>
          <c:spPr>
            <a:ln>
              <a:noFill/>
              <a:prstDash val="solid"/>
            </a:ln>
          </c:spPr>
          <c:invertIfNegative val="0"/>
          <c:dLbls>
            <c:delete val="1"/>
          </c:dLbls>
          <c:cat>
            <c:strRef>
              <c:f>(资产负债表!$B$6:$B$12,资产负债表!$B$15:$B$19,资产负债表!$B$22:$B$23,资产负债表!$B$29:$B$35,资产负债表!$B$38:$B$39,资产负债表!$B$42:$B$44)</c:f>
              <c:strCache>
                <c:ptCount val="26"/>
                <c:pt idx="0">
                  <c:v>现金</c:v>
                </c:pt>
                <c:pt idx="1">
                  <c:v>投资</c:v>
                </c:pt>
                <c:pt idx="2">
                  <c:v>库存</c:v>
                </c:pt>
                <c:pt idx="3">
                  <c:v>应收帐款</c:v>
                </c:pt>
                <c:pt idx="4">
                  <c:v>预付费用</c:v>
                </c:pt>
                <c:pt idx="5">
                  <c:v>其他</c:v>
                </c:pt>
                <c:pt idx="6">
                  <c:v>流动资产总额</c:v>
                </c:pt>
                <c:pt idx="7">
                  <c:v>财产和设备</c:v>
                </c:pt>
                <c:pt idx="8">
                  <c:v>租赁权益改良</c:v>
                </c:pt>
                <c:pt idx="9">
                  <c:v>所有者权益及其他投资</c:v>
                </c:pt>
                <c:pt idx="10">
                  <c:v>减去累计折旧</c:v>
                </c:pt>
                <c:pt idx="11">
                  <c:v>固定资产总额</c:v>
                </c:pt>
                <c:pt idx="12">
                  <c:v>商誉</c:v>
                </c:pt>
                <c:pt idx="13">
                  <c:v>其他资产总额</c:v>
                </c:pt>
                <c:pt idx="14">
                  <c:v>应付帐款</c:v>
                </c:pt>
                <c:pt idx="15">
                  <c:v>应付工资</c:v>
                </c:pt>
                <c:pt idx="16">
                  <c:v>应付薪酬</c:v>
                </c:pt>
                <c:pt idx="17">
                  <c:v>应付所得税</c:v>
                </c:pt>
                <c:pt idx="18">
                  <c:v>预收收入</c:v>
                </c:pt>
                <c:pt idx="19">
                  <c:v>其他</c:v>
                </c:pt>
                <c:pt idx="20">
                  <c:v>流动负债总额</c:v>
                </c:pt>
                <c:pt idx="21">
                  <c:v>应付抵押款</c:v>
                </c:pt>
                <c:pt idx="22">
                  <c:v>长期负债总额</c:v>
                </c:pt>
                <c:pt idx="23">
                  <c:v>投资资本</c:v>
                </c:pt>
                <c:pt idx="24">
                  <c:v>累计留存收益</c:v>
                </c:pt>
                <c:pt idx="25">
                  <c:v>所有者权益总额</c:v>
                </c:pt>
              </c:strCache>
            </c:strRef>
          </c:cat>
          <c:val>
            <c:numRef>
              <c:f>(资产负债表!$C$6:$C$12,资产负债表!$C$15:$C$19,资产负债表!$C$22:$C$23,资产负债表!$C$29:$C$35,资产负债表!$C$38:$C$39,资产负债表!$C$42:$C$44)</c:f>
              <c:numCache>
                <c:formatCode>_ * #,##0.00_ ;_ * \-#,##0.00_ ;_ * "-"??_ ;_ @_ </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spPr>
            <a:ln>
              <a:noFill/>
              <a:prstDash val="solid"/>
            </a:ln>
          </c:spPr>
          <c:invertIfNegative val="0"/>
          <c:dLbls>
            <c:delete val="1"/>
          </c:dLbls>
          <c:cat>
            <c:strRef>
              <c:f>(资产负债表!$B$6:$B$12,资产负债表!$B$15:$B$19,资产负债表!$B$22:$B$23,资产负债表!$B$29:$B$35,资产负债表!$B$38:$B$39,资产负债表!$B$42:$B$44)</c:f>
              <c:strCache>
                <c:ptCount val="26"/>
                <c:pt idx="0">
                  <c:v>现金</c:v>
                </c:pt>
                <c:pt idx="1">
                  <c:v>投资</c:v>
                </c:pt>
                <c:pt idx="2">
                  <c:v>库存</c:v>
                </c:pt>
                <c:pt idx="3">
                  <c:v>应收帐款</c:v>
                </c:pt>
                <c:pt idx="4">
                  <c:v>预付费用</c:v>
                </c:pt>
                <c:pt idx="5">
                  <c:v>其他</c:v>
                </c:pt>
                <c:pt idx="6">
                  <c:v>流动资产总额</c:v>
                </c:pt>
                <c:pt idx="7">
                  <c:v>财产和设备</c:v>
                </c:pt>
                <c:pt idx="8">
                  <c:v>租赁权益改良</c:v>
                </c:pt>
                <c:pt idx="9">
                  <c:v>所有者权益及其他投资</c:v>
                </c:pt>
                <c:pt idx="10">
                  <c:v>减去累计折旧</c:v>
                </c:pt>
                <c:pt idx="11">
                  <c:v>固定资产总额</c:v>
                </c:pt>
                <c:pt idx="12">
                  <c:v>商誉</c:v>
                </c:pt>
                <c:pt idx="13">
                  <c:v>其他资产总额</c:v>
                </c:pt>
                <c:pt idx="14">
                  <c:v>应付帐款</c:v>
                </c:pt>
                <c:pt idx="15">
                  <c:v>应付工资</c:v>
                </c:pt>
                <c:pt idx="16">
                  <c:v>应付薪酬</c:v>
                </c:pt>
                <c:pt idx="17">
                  <c:v>应付所得税</c:v>
                </c:pt>
                <c:pt idx="18">
                  <c:v>预收收入</c:v>
                </c:pt>
                <c:pt idx="19">
                  <c:v>其他</c:v>
                </c:pt>
                <c:pt idx="20">
                  <c:v>流动负债总额</c:v>
                </c:pt>
                <c:pt idx="21">
                  <c:v>应付抵押款</c:v>
                </c:pt>
                <c:pt idx="22">
                  <c:v>长期负债总额</c:v>
                </c:pt>
                <c:pt idx="23">
                  <c:v>投资资本</c:v>
                </c:pt>
                <c:pt idx="24">
                  <c:v>累计留存收益</c:v>
                </c:pt>
                <c:pt idx="25">
                  <c:v>所有者权益总额</c:v>
                </c:pt>
              </c:strCache>
            </c:strRef>
          </c:cat>
          <c:val>
            <c:numRef>
              <c:f>(资产负债表!$D$6:$D$12,资产负债表!$D$15:$D$19,资产负债表!$D$22:$D$23,资产负债表!$D$29:$D$35,资产负债表!$D$38:$D$39,资产负债表!$D$42:$D$44)</c:f>
              <c:numCache>
                <c:formatCode>_ * #,##0.00_ ;_ * \-#,##0.00_ ;_ * "-"??_ ;_ @_ </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dLbls>
          <c:showLegendKey val="0"/>
          <c:showVal val="0"/>
          <c:showCatName val="0"/>
          <c:showSerName val="0"/>
          <c:showPercent val="0"/>
          <c:showBubbleSize val="0"/>
        </c:dLbls>
        <c:gapWidth val="75"/>
        <c:axId val="70048384"/>
        <c:axId val="70058368"/>
      </c:barChart>
      <c:catAx>
        <c:axId val="70048384"/>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lt1"/>
                </a:solidFill>
                <a:latin typeface="Microsoft YaHei UI" panose="020B0503020204020204" pitchFamily="34" charset="-122"/>
                <a:ea typeface="Microsoft YaHei UI" panose="020B0503020204020204" pitchFamily="34" charset="-122"/>
                <a:cs typeface="+mn-cs"/>
              </a:defRPr>
            </a:pPr>
          </a:p>
        </c:txPr>
        <c:crossAx val="70058368"/>
        <c:crosses val="autoZero"/>
        <c:auto val="1"/>
        <c:lblAlgn val="ctr"/>
        <c:lblOffset val="100"/>
        <c:noMultiLvlLbl val="0"/>
      </c:catAx>
      <c:valAx>
        <c:axId val="70058368"/>
        <c:scaling>
          <c:orientation val="minMax"/>
        </c:scaling>
        <c:delete val="0"/>
        <c:axPos val="l"/>
        <c:majorGridlines/>
        <c:numFmt formatCode="_ * #,##0.00_ ;_ * \-#,##0.00_ ;_ * &quot;-&quot;??_ ;_ @_ "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lt1"/>
                </a:solidFill>
                <a:latin typeface="Microsoft YaHei UI" panose="020B0503020204020204" pitchFamily="34" charset="-122"/>
                <a:ea typeface="Microsoft YaHei UI" panose="020B0503020204020204" pitchFamily="34" charset="-122"/>
                <a:cs typeface="+mn-cs"/>
              </a:defRPr>
            </a:pPr>
          </a:p>
        </c:txPr>
        <c:crossAx val="70048384"/>
        <c:crosses val="autoZero"/>
        <c:crossBetween val="between"/>
      </c:valAx>
    </c:plotArea>
    <c:legend>
      <c:legendPos val="b"/>
      <c:layout/>
      <c:overlay val="0"/>
      <c:txPr>
        <a:bodyPr rot="0" spcFirstLastPara="0" vertOverflow="ellipsis" vert="horz" wrap="square" anchor="ctr" anchorCtr="1"/>
        <a:lstStyle/>
        <a:p>
          <a:pPr>
            <a:defRPr lang="zh-CN" sz="1000" b="0" i="0" u="none" strike="noStrike" kern="1200" baseline="0">
              <a:solidFill>
                <a:schemeClr val="lt1"/>
              </a:solidFill>
              <a:latin typeface="Microsoft YaHei UI" panose="020B0503020204020204" pitchFamily="34" charset="-122"/>
              <a:ea typeface="Microsoft YaHei UI" panose="020B0503020204020204" pitchFamily="34" charset="-122"/>
              <a:cs typeface="+mn-cs"/>
            </a:defRPr>
          </a:pPr>
        </a:p>
      </c:txPr>
    </c:legend>
    <c:plotVisOnly val="1"/>
    <c:dispBlanksAs val="gap"/>
    <c:showDLblsOverMax val="0"/>
    <c:extLst>
      <c:ext uri="{0b15fc19-7d7d-44ad-8c2d-2c3a37ce22c3}">
        <chartProps xmlns="https://web.wps.cn/et/2018/main" chartId="{e1ac6b57-8b34-4f7e-88d3-419e207a7623}"/>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244940</xdr:rowOff>
    </xdr:from>
    <xdr:to>
      <xdr:col>1</xdr:col>
      <xdr:colOff>685800</xdr:colOff>
      <xdr:row>1</xdr:row>
      <xdr:rowOff>930740</xdr:rowOff>
    </xdr:to>
    <xdr:pic>
      <xdr:nvPicPr>
        <xdr:cNvPr id="4" name="图形 3" descr="金钱"/>
        <xdr:cNvPicPr>
          <a:picLocks noChangeAspect="1"/>
        </xdr:cNvPicPr>
      </xdr:nvPicPr>
      <xdr:blipFill>
        <a:blip r:embed="rId1"/>
        <a:stretch>
          <a:fillRect/>
        </a:stretch>
      </xdr:blipFill>
      <xdr:spPr>
        <a:xfrm>
          <a:off x="101600" y="498475"/>
          <a:ext cx="685800" cy="685800"/>
        </a:xfrm>
        <a:prstGeom prst="rect">
          <a:avLst/>
        </a:prstGeom>
        <a:ln>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208507</xdr:colOff>
      <xdr:row>26</xdr:row>
      <xdr:rowOff>94776</xdr:rowOff>
    </xdr:from>
    <xdr:ext cx="1340653" cy="2781111"/>
    <xdr:pic>
      <xdr:nvPicPr>
        <xdr:cNvPr id="2" name="图形 1"/>
        <xdr:cNvPicPr>
          <a:picLocks noChangeAspect="1"/>
        </xdr:cNvPicPr>
      </xdr:nvPicPr>
      <xdr:blipFill>
        <a:blip r:embed="rId1"/>
        <a:srcRect l="80839" t="61320" b="18606"/>
        <a:stretch>
          <a:fillRect/>
        </a:stretch>
      </xdr:blipFill>
      <xdr:spPr>
        <a:xfrm>
          <a:off x="5859780" y="8505190"/>
          <a:ext cx="1340485" cy="2780665"/>
        </a:xfrm>
        <a:prstGeom prst="rect">
          <a:avLst/>
        </a:prstGeom>
        <a:ln>
          <a:prstDash val="solid"/>
        </a:ln>
      </xdr:spPr>
    </xdr:pic>
    <xdr:clientData/>
  </xdr:oneCellAnchor>
  <xdr:oneCellAnchor>
    <xdr:from>
      <xdr:col>4</xdr:col>
      <xdr:colOff>311860</xdr:colOff>
      <xdr:row>0</xdr:row>
      <xdr:rowOff>13460</xdr:rowOff>
    </xdr:from>
    <xdr:ext cx="5163214" cy="1831214"/>
    <xdr:pic>
      <xdr:nvPicPr>
        <xdr:cNvPr id="3" name="图形 2"/>
        <xdr:cNvPicPr>
          <a:picLocks noChangeAspect="1"/>
        </xdr:cNvPicPr>
      </xdr:nvPicPr>
      <xdr:blipFill>
        <a:blip r:embed="rId1"/>
        <a:srcRect r="46371" b="90381"/>
        <a:stretch>
          <a:fillRect/>
        </a:stretch>
      </xdr:blipFill>
      <xdr:spPr>
        <a:xfrm>
          <a:off x="2038985" y="13335"/>
          <a:ext cx="5163185" cy="1830705"/>
        </a:xfrm>
        <a:prstGeom prst="rect">
          <a:avLst/>
        </a:prstGeom>
        <a:ln>
          <a:prstDash val="solid"/>
        </a:ln>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3</xdr:row>
      <xdr:rowOff>0</xdr:rowOff>
    </xdr:from>
    <xdr:to>
      <xdr:col>4</xdr:col>
      <xdr:colOff>253876</xdr:colOff>
      <xdr:row>4</xdr:row>
      <xdr:rowOff>0</xdr:rowOff>
    </xdr:to>
    <xdr:pic>
      <xdr:nvPicPr>
        <xdr:cNvPr id="3" name="图片 2"/>
        <xdr:cNvPicPr preferRelativeResize="0">
          <a:picLocks noChangeAspect="1"/>
        </xdr:cNvPicPr>
      </xdr:nvPicPr>
      <xdr:blipFill>
        <a:blip r:embed="rId1" cstate="print"/>
        <a:stretch>
          <a:fillRect/>
        </a:stretch>
      </xdr:blipFill>
      <xdr:spPr>
        <a:xfrm>
          <a:off x="5321300" y="1143000"/>
          <a:ext cx="253365" cy="381000"/>
        </a:xfrm>
        <a:prstGeom prst="rect">
          <a:avLst/>
        </a:prstGeom>
        <a:ln>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0</xdr:colOff>
      <xdr:row>0</xdr:row>
      <xdr:rowOff>0</xdr:rowOff>
    </xdr:from>
    <xdr:to>
      <xdr:col>13</xdr:col>
      <xdr:colOff>390525</xdr:colOff>
      <xdr:row>29</xdr:row>
      <xdr:rowOff>0</xdr:rowOff>
    </xdr:to>
    <xdr:graphicFrame>
      <xdr:nvGraphicFramePr>
        <xdr:cNvPr id="2" name="Chart 1"/>
        <xdr:cNvGraphicFramePr/>
      </xdr:nvGraphicFramePr>
      <xdr:xfrm>
        <a:off x="0" y="0"/>
        <a:ext cx="9305925" cy="5598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ashReceipts" displayName="CashReceipts" ref="B9:S15" headerRowCount="0" totalsRowCount="1">
  <tableColumns count="18">
    <tableColumn id="1" name="Items" dataDxfId="0" totalsRowLabel="总计"/>
    <tableColumn id="17" name="Column2" dataDxfId="1"/>
    <tableColumn id="2" name="Period 0" dataDxfId="2"/>
    <tableColumn id="3" name="Period 1" dataDxfId="3" totalsRowFunction="sum"/>
    <tableColumn id="4" name="Period 2" dataDxfId="4" totalsRowFunction="sum"/>
    <tableColumn id="5" name="Period 3" dataDxfId="5" totalsRowFunction="sum"/>
    <tableColumn id="6" name="Period 4" dataDxfId="6" totalsRowFunction="sum"/>
    <tableColumn id="7" name="Period 5" dataDxfId="7" totalsRowFunction="sum"/>
    <tableColumn id="8" name="Period 6" dataDxfId="8" totalsRowFunction="sum"/>
    <tableColumn id="9" name="Period 7" dataDxfId="9" totalsRowFunction="sum"/>
    <tableColumn id="10" name="Period 8" dataDxfId="10" totalsRowFunction="sum"/>
    <tableColumn id="11" name="Period 9" dataDxfId="11" totalsRowFunction="sum"/>
    <tableColumn id="12" name="Period 10" dataDxfId="12" totalsRowFunction="sum"/>
    <tableColumn id="13" name="Period 11" dataDxfId="13" totalsRowFunction="sum"/>
    <tableColumn id="14" name="Period 12" dataDxfId="14" totalsRowFunction="sum"/>
    <tableColumn id="18" name="Column3" dataDxfId="15"/>
    <tableColumn id="15" name="Total" dataDxfId="16" totalsRowFunction="sum">
      <calculatedColumnFormula>SUM(CashReceipts[[#This Row],[Period 0]:[Period 12]])</calculatedColumnFormula>
    </tableColumn>
    <tableColumn id="16" name="Column1" dataDxfId="17"/>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ref="D27:D47" descending="1"/>
  </sortState>
  <tableColumns count="18">
    <tableColumn id="1" name="Items" dataDxfId="18" totalsRowLabel="总计"/>
    <tableColumn id="17" name="Column2" dataDxfId="19"/>
    <tableColumn id="2" name="Period 0" dataDxfId="20" totalsRowFunction="sum"/>
    <tableColumn id="3" name="Period 1" dataDxfId="21" totalsRowFunction="sum"/>
    <tableColumn id="4" name="Period 2" dataDxfId="22" totalsRowFunction="sum"/>
    <tableColumn id="5" name="Period 3" dataDxfId="23" totalsRowFunction="sum"/>
    <tableColumn id="6" name="Period 4" dataDxfId="24" totalsRowFunction="sum"/>
    <tableColumn id="7" name="Period 5" dataDxfId="25" totalsRowFunction="sum"/>
    <tableColumn id="8" name="Period 6" dataDxfId="26" totalsRowFunction="sum"/>
    <tableColumn id="9" name="Period 7" dataDxfId="27" totalsRowFunction="sum"/>
    <tableColumn id="10" name="Period 8" dataDxfId="28" totalsRowFunction="sum"/>
    <tableColumn id="11" name="Period 9" dataDxfId="29" totalsRowFunction="sum"/>
    <tableColumn id="12" name="Period 10" dataDxfId="30" totalsRowFunction="sum"/>
    <tableColumn id="13" name="Period 11" dataDxfId="31" totalsRowFunction="sum"/>
    <tableColumn id="14" name="Period 12" dataDxfId="32" totalsRowFunction="sum"/>
    <tableColumn id="18" name="Column3" dataDxfId="33"/>
    <tableColumn id="15" name="Total" dataDxfId="34" totalsRowFunction="sum">
      <calculatedColumnFormula>SUM(CashPaidOut[[#This Row],[Period 0]:[Period 12]])</calculatedColumnFormula>
    </tableColumn>
    <tableColumn id="16" name="Column1" dataDxfId="35"/>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dataDxfId="36" totalsRowLabel="总计"/>
    <tableColumn id="17" name="Column2" dataDxfId="37"/>
    <tableColumn id="2" name="Period 0" dataDxfId="38" totalsRowFunction="sum"/>
    <tableColumn id="3" name="Period 1" dataDxfId="39" totalsRowFunction="sum"/>
    <tableColumn id="4" name="Period 2" dataDxfId="40" totalsRowFunction="sum"/>
    <tableColumn id="5" name="Period 3" dataDxfId="41" totalsRowFunction="sum"/>
    <tableColumn id="6" name="Period 4" dataDxfId="42" totalsRowFunction="sum"/>
    <tableColumn id="7" name="Period 5" dataDxfId="43" totalsRowFunction="sum"/>
    <tableColumn id="8" name="Period 6" dataDxfId="44" totalsRowFunction="sum"/>
    <tableColumn id="9" name="Period 7" dataDxfId="45" totalsRowFunction="sum"/>
    <tableColumn id="10" name="Period 8" dataDxfId="46" totalsRowFunction="sum"/>
    <tableColumn id="11" name="Period 9" dataDxfId="47" totalsRowFunction="sum"/>
    <tableColumn id="12" name="Period 10" dataDxfId="48" totalsRowFunction="sum"/>
    <tableColumn id="13" name="Period 11" dataDxfId="49" totalsRowFunction="sum"/>
    <tableColumn id="14" name="Period 12" dataDxfId="50" totalsRowFunction="sum"/>
    <tableColumn id="18" name="Column3" dataDxfId="51"/>
    <tableColumn id="15" name="Total" dataDxfId="52" totalsRowFunction="sum">
      <calculatedColumnFormula>SUM(CashPaidOut2[[#This Row],[Period 0]:[Period 12]])</calculatedColumnFormula>
    </tableColumn>
    <tableColumn id="16" name="Column1" dataDxfId="53"/>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dataDxfId="54" totalsRowLabel="总计"/>
    <tableColumn id="17" name="Column2" dataDxfId="55"/>
    <tableColumn id="2" name="Period 0" dataDxfId="56" totalsRowFunction="sum"/>
    <tableColumn id="3" name="Period 1" dataDxfId="57" totalsRowFunction="sum"/>
    <tableColumn id="4" name="Period 2" dataDxfId="58" totalsRowFunction="sum"/>
    <tableColumn id="5" name="Period 3" dataDxfId="59" totalsRowFunction="sum"/>
    <tableColumn id="6" name="Period 4" dataDxfId="60" totalsRowFunction="sum"/>
    <tableColumn id="7" name="Period 5" dataDxfId="61" totalsRowFunction="sum"/>
    <tableColumn id="8" name="Period 6" dataDxfId="62" totalsRowFunction="sum"/>
    <tableColumn id="9" name="Period 7" dataDxfId="63" totalsRowFunction="sum"/>
    <tableColumn id="10" name="Period 8" dataDxfId="64" totalsRowFunction="sum"/>
    <tableColumn id="11" name="Period 9" dataDxfId="65" totalsRowFunction="sum"/>
    <tableColumn id="12" name="Period 10" dataDxfId="66" totalsRowFunction="sum"/>
    <tableColumn id="13" name="Period 11" dataDxfId="67" totalsRowFunction="sum"/>
    <tableColumn id="14" name="Period 12" dataDxfId="68" totalsRowFunction="sum"/>
    <tableColumn id="18" name="Column3" dataDxfId="69"/>
    <tableColumn id="15" name="Total" dataDxfId="70" totalsRowFunction="sum">
      <calculatedColumnFormula>SUM(CashPaidOut26[[#This Row],[Period 0]:[Period 12]])</calculatedColumnFormula>
    </tableColumn>
    <tableColumn id="16" name="Column1" dataDxfId="71"/>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dataDxfId="72" totalsRowLabel="总计"/>
    <tableColumn id="17" name="Column2" dataDxfId="73"/>
    <tableColumn id="2" name="Period 0" dataDxfId="74" totalsRowFunction="sum"/>
    <tableColumn id="3" name="Period 1" dataDxfId="75" totalsRowFunction="sum"/>
    <tableColumn id="4" name="Period 2" dataDxfId="76" totalsRowFunction="sum"/>
    <tableColumn id="5" name="Period 3" dataDxfId="77" totalsRowFunction="sum"/>
    <tableColumn id="6" name="Period 4" dataDxfId="78" totalsRowFunction="sum"/>
    <tableColumn id="7" name="Period 5" dataDxfId="79" totalsRowFunction="sum"/>
    <tableColumn id="8" name="Period 6" dataDxfId="80" totalsRowFunction="sum"/>
    <tableColumn id="9" name="Period 7" dataDxfId="81" totalsRowFunction="sum"/>
    <tableColumn id="10" name="Period 8" dataDxfId="82" totalsRowFunction="sum"/>
    <tableColumn id="11" name="Period 9" dataDxfId="83" totalsRowFunction="sum"/>
    <tableColumn id="12" name="Period 10" dataDxfId="84" totalsRowFunction="sum"/>
    <tableColumn id="13" name="Period 11" dataDxfId="85" totalsRowFunction="sum"/>
    <tableColumn id="14" name="Period 12" dataDxfId="86" totalsRowFunction="sum"/>
    <tableColumn id="18" name="Column3" dataDxfId="87"/>
    <tableColumn id="15" name="Total" dataDxfId="88" totalsRowFunction="sum">
      <calculatedColumnFormula>SUM(CashPaidOut218[[#This Row],[Period 0]:[Period 12]])</calculatedColumnFormula>
    </tableColumn>
    <tableColumn id="16" name="Column1" dataDxfId="89"/>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totalsRowCount="1">
  <tableColumns count="4">
    <tableColumn id="1" name="0" dataDxfId="91" totalsRowLabel="小计"/>
    <tableColumn id="2" name="预计&#10;费用" dataDxfId="92"/>
    <tableColumn id="3" name="实际&#10;费用" dataDxfId="93"/>
    <tableColumn id="4" name="差额" dataDxfId="94" totalsRowFunction="sum">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totalsRowCount="1">
  <tableColumns count="4">
    <tableColumn id="1" name="0" dataDxfId="95" totalsRowLabel="小计"/>
    <tableColumn id="2" name="预计&#10;费用" dataDxfId="96"/>
    <tableColumn id="3" name="实际&#10;费用" dataDxfId="97"/>
    <tableColumn id="4" name="差额" dataDxfId="98" totalsRowFunction="sum">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totalsRowCount="1">
  <tableColumns count="4">
    <tableColumn id="1" name="0" dataDxfId="99" totalsRowLabel="小计"/>
    <tableColumn id="2" name="预计&#10;费用" dataDxfId="100"/>
    <tableColumn id="3" name="实际&#10;费用" dataDxfId="101"/>
    <tableColumn id="4" name="差额" dataDxfId="102" totalsRowFunction="sum">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totalsRowCount="1">
  <tableColumns count="4">
    <tableColumn id="1" name="0" dataDxfId="103" totalsRowLabel="小计"/>
    <tableColumn id="2" name="预计&#10;费用" dataDxfId="104"/>
    <tableColumn id="3" name="实际&#10;费用" dataDxfId="105"/>
    <tableColumn id="4" name="差额" dataDxfId="106" totalsRowFunction="sum">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totalsRowCount="1">
  <tableColumns count="4">
    <tableColumn id="1" name="0" dataDxfId="107" totalsRowLabel="小计"/>
    <tableColumn id="2" name="预计&#10;费用" dataDxfId="108"/>
    <tableColumn id="3" name="实际&#10;费用" dataDxfId="109"/>
    <tableColumn id="4" name="差额" dataDxfId="110" totalsRowFunction="sum">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totalsRowCount="1">
  <tableColumns count="4">
    <tableColumn id="1" name="0" dataDxfId="111" totalsRowLabel="小计"/>
    <tableColumn id="2" name="预计&#10;费用" dataDxfId="112"/>
    <tableColumn id="3" name="实际&#10;费用" dataDxfId="113"/>
    <tableColumn id="4" name="差额" dataDxfId="114" totalsRowFunction="sum">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totalsRowCount="1">
  <tableColumns count="4">
    <tableColumn id="1" name="0" dataDxfId="115" totalsRowLabel="小计"/>
    <tableColumn id="2" name="预计&#10;费用" dataDxfId="116"/>
    <tableColumn id="3" name="实际&#10;费用" dataDxfId="117"/>
    <tableColumn id="4" name="差额" dataDxfId="118" totalsRowFunction="sum">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totalsRowCount="1">
  <tableColumns count="4">
    <tableColumn id="1" name="0" dataDxfId="119" totalsRowLabel="小计"/>
    <tableColumn id="2" name="预计&#10;费用" dataDxfId="120"/>
    <tableColumn id="3" name="实际&#10;费用" dataDxfId="121"/>
    <tableColumn id="4" name="差额" dataDxfId="122" totalsRowFunction="sum">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totalsRowCount="1">
  <tableColumns count="4">
    <tableColumn id="1" name="0" dataDxfId="123" totalsRowLabel="小计"/>
    <tableColumn id="2" name="预计&#10;费用" dataDxfId="124"/>
    <tableColumn id="3" name="实际&#10;费用" dataDxfId="125"/>
    <tableColumn id="4" name="差额" dataDxfId="126" totalsRowFunction="sum">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totalsRowCount="1">
  <tableColumns count="4">
    <tableColumn id="1" name="0" dataDxfId="127" totalsRowLabel="小计"/>
    <tableColumn id="2" name="预计&#10;费用" dataDxfId="128"/>
    <tableColumn id="3" name="实际&#10;费用" dataDxfId="129"/>
    <tableColumn id="4" name="差额" dataDxfId="130" totalsRowFunction="sum">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totalsRowCount="1">
  <tableColumns count="4">
    <tableColumn id="1" name="法务" dataDxfId="131" totalsRowLabel="小计"/>
    <tableColumn id="2" name="预计&#10;费用" dataDxfId="132"/>
    <tableColumn id="3" name="实际&#10;费用" dataDxfId="133"/>
    <tableColumn id="4" name="差额" dataDxfId="134" totalsRowFunction="sum">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totalsRowCount="1">
  <tableColumns count="4">
    <tableColumn id="1" name="0" dataDxfId="135" totalsRowLabel="小计"/>
    <tableColumn id="2" name="预计&#10;费用" dataDxfId="136"/>
    <tableColumn id="3" name="实际&#10;费用" dataDxfId="137"/>
    <tableColumn id="4" name="差额" dataDxfId="138" totalsRowFunction="sum">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totalsRowCount="1">
  <autoFilter xmlns:etc="http://www.wps.cn/officeDocument/2017/etCustomData" ref="B6:AD13"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name="收入" dataDxfId="139" totalsRowLabel="总销售额"/>
    <tableColumn id="29" name="趋势" dataDxfId="140"/>
    <tableColumn id="2" name="1 月" dataDxfId="141" totalsRowFunction="sum"/>
    <tableColumn id="3" name="2 月" dataDxfId="142" totalsRowFunction="sum"/>
    <tableColumn id="4" name="3 月" dataDxfId="143" totalsRowFunction="sum"/>
    <tableColumn id="5" name="4 月" dataDxfId="144" totalsRowFunction="sum"/>
    <tableColumn id="6" name="5 月" dataDxfId="145" totalsRowFunction="sum"/>
    <tableColumn id="7" name="6 月" dataDxfId="146" totalsRowFunction="sum"/>
    <tableColumn id="8" name="7 月" dataDxfId="147" totalsRowFunction="sum"/>
    <tableColumn id="9" name="8 月" dataDxfId="148" totalsRowFunction="sum"/>
    <tableColumn id="10" name="9 月" dataDxfId="149" totalsRowFunction="sum"/>
    <tableColumn id="11" name="10 月" dataDxfId="150" totalsRowFunction="sum"/>
    <tableColumn id="12" name="11 月" dataDxfId="151" totalsRowFunction="sum"/>
    <tableColumn id="13" name="12 月" dataDxfId="152" totalsRowFunction="sum"/>
    <tableColumn id="14" name="年度" dataDxfId="153" totalsRowFunction="sum">
      <calculatedColumnFormula>SUM(收入[[#This Row],[1 月]:[12 月]])</calculatedColumnFormula>
    </tableColumn>
    <tableColumn id="15" name="行业百分比" dataDxfId="154" totalsRowFunction="sum"/>
    <tableColumn id="16" name="1 月 %" dataDxfId="155" totalsRowFunction="sum">
      <calculatedColumnFormula>IFERROR(收入[[#This Row],[1 月]]/收入[[#Totals],[1 月]],"-")</calculatedColumnFormula>
    </tableColumn>
    <tableColumn id="17" name="2 月 %" dataDxfId="156" totalsRowFunction="sum">
      <calculatedColumnFormula>IFERROR(收入[[#This Row],[2 月]]/收入[[#Totals],[2 月]],"-")</calculatedColumnFormula>
    </tableColumn>
    <tableColumn id="18" name="3 月 %" dataDxfId="157" totalsRowFunction="sum">
      <calculatedColumnFormula>IFERROR(收入[[#This Row],[3 月]]/收入[[#Totals],[3 月]],"-")</calculatedColumnFormula>
    </tableColumn>
    <tableColumn id="19" name="4 月 %" dataDxfId="158" totalsRowFunction="sum">
      <calculatedColumnFormula>IFERROR(收入[[#This Row],[4 月]]/收入[[#Totals],[4 月]],"-")</calculatedColumnFormula>
    </tableColumn>
    <tableColumn id="20" name="5 月 %" dataDxfId="159" totalsRowFunction="sum">
      <calculatedColumnFormula>IFERROR(收入[[#This Row],[5 月]]/收入[[#Totals],[5 月]],"-")</calculatedColumnFormula>
    </tableColumn>
    <tableColumn id="21" name="6 月 %" dataDxfId="160" totalsRowFunction="sum">
      <calculatedColumnFormula>IFERROR(收入[[#This Row],[6 月]]/收入[[#Totals],[6 月]],"-")</calculatedColumnFormula>
    </tableColumn>
    <tableColumn id="22" name="7 月 %" dataDxfId="161" totalsRowFunction="sum">
      <calculatedColumnFormula>IFERROR(收入[[#This Row],[7 月]]/收入[[#Totals],[7 月]],"-")</calculatedColumnFormula>
    </tableColumn>
    <tableColumn id="23" name="8 月 %" dataDxfId="162" totalsRowFunction="sum">
      <calculatedColumnFormula>IFERROR(收入[[#This Row],[8 月]]/收入[[#Totals],[8 月]],"-")</calculatedColumnFormula>
    </tableColumn>
    <tableColumn id="24" name="9 月 %" dataDxfId="163" totalsRowFunction="sum">
      <calculatedColumnFormula>IFERROR(收入[[#This Row],[9 月]]/收入[[#Totals],[9 月]],"-")</calculatedColumnFormula>
    </tableColumn>
    <tableColumn id="25" name="10 月 %" dataDxfId="164" totalsRowFunction="sum">
      <calculatedColumnFormula>IFERROR(收入[[#This Row],[10 月]]/收入[[#Totals],[10 月]],"-")</calculatedColumnFormula>
    </tableColumn>
    <tableColumn id="26" name="11 月 %" dataDxfId="165" totalsRowFunction="sum">
      <calculatedColumnFormula>IFERROR(收入[[#This Row],[11 月]]/收入[[#Totals],[11 月]],"-")</calculatedColumnFormula>
    </tableColumn>
    <tableColumn id="27" name="12 月 %" dataDxfId="166" totalsRowFunction="sum">
      <calculatedColumnFormula>IFERROR(收入[[#This Row],[12 月]]/收入[[#Totals],[12 月]],"-")</calculatedColumnFormula>
    </tableColumn>
    <tableColumn id="28" name="年度 %" dataDxfId="167" totalsRowFunction="sum">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totalsRowCount="1">
  <tableColumns count="29">
    <tableColumn id="1" name="成本" dataDxfId="168" totalsRowLabel="毛利润"/>
    <tableColumn id="2" name="趋势" dataDxfId="16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70"/>
    <tableColumn id="17" name="1 月 %" dataDxfId="171">
      <calculatedColumnFormula>D7/D$14</calculatedColumnFormula>
    </tableColumn>
    <tableColumn id="18" name="2 月 %" dataDxfId="172">
      <calculatedColumnFormula>E7/E$14</calculatedColumnFormula>
    </tableColumn>
    <tableColumn id="19" name="3 月 %" dataDxfId="173">
      <calculatedColumnFormula>F7/F$14</calculatedColumnFormula>
    </tableColumn>
    <tableColumn id="20" name="4 月 %" dataDxfId="174">
      <calculatedColumnFormula>G7/G$14</calculatedColumnFormula>
    </tableColumn>
    <tableColumn id="21" name="5 月 %" dataDxfId="175">
      <calculatedColumnFormula>H7/H$14</calculatedColumnFormula>
    </tableColumn>
    <tableColumn id="22" name="6 月 %" dataDxfId="176">
      <calculatedColumnFormula>I7/I$14</calculatedColumnFormula>
    </tableColumn>
    <tableColumn id="23" name="7 月 %" dataDxfId="177">
      <calculatedColumnFormula>J7/J$14</calculatedColumnFormula>
    </tableColumn>
    <tableColumn id="24" name="8 月 %" dataDxfId="178">
      <calculatedColumnFormula>K7/K$14</calculatedColumnFormula>
    </tableColumn>
    <tableColumn id="25" name="9 月 %" dataDxfId="179">
      <calculatedColumnFormula>L7/L$14</calculatedColumnFormula>
    </tableColumn>
    <tableColumn id="26" name="10 月 %" dataDxfId="180">
      <calculatedColumnFormula>M7/M$14</calculatedColumnFormula>
    </tableColumn>
    <tableColumn id="27" name="11 月 %" dataDxfId="181">
      <calculatedColumnFormula>N7/N$14</calculatedColumnFormula>
    </tableColumn>
    <tableColumn id="28" name="12 月 %" dataDxfId="182">
      <calculatedColumnFormula>O7/O$14</calculatedColumnFormula>
    </tableColumn>
    <tableColumn id="29" name="年度 %" dataDxfId="183">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totalsRowCount="1">
  <tableColumns count="29">
    <tableColumn id="1" name="费用" dataDxfId="184" totalsRowLabel="净利润"/>
    <tableColumn id="2" name="趋势" dataDxfId="185"/>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86"/>
    <tableColumn id="17" name="1 月 %" dataDxfId="187">
      <calculatedColumnFormula>D7/D$26</calculatedColumnFormula>
    </tableColumn>
    <tableColumn id="18" name="2 月 %" dataDxfId="188">
      <calculatedColumnFormula>E7/E$26</calculatedColumnFormula>
    </tableColumn>
    <tableColumn id="19" name="3 月 %" dataDxfId="189">
      <calculatedColumnFormula>F7/F$26</calculatedColumnFormula>
    </tableColumn>
    <tableColumn id="20" name="4 月 %" dataDxfId="190">
      <calculatedColumnFormula>G7/G$26</calculatedColumnFormula>
    </tableColumn>
    <tableColumn id="21" name="5 月 %" dataDxfId="191">
      <calculatedColumnFormula>H7/H$26</calculatedColumnFormula>
    </tableColumn>
    <tableColumn id="22" name="6 月 %" dataDxfId="192">
      <calculatedColumnFormula>I7/I$26</calculatedColumnFormula>
    </tableColumn>
    <tableColumn id="23" name="7 月 %" dataDxfId="193">
      <calculatedColumnFormula>J7/J$26</calculatedColumnFormula>
    </tableColumn>
    <tableColumn id="24" name="8 月 %" dataDxfId="194">
      <calculatedColumnFormula>K7/K$26</calculatedColumnFormula>
    </tableColumn>
    <tableColumn id="25" name="9 月 %" dataDxfId="195">
      <calculatedColumnFormula>L7/L$26</calculatedColumnFormula>
    </tableColumn>
    <tableColumn id="26" name="10 月 %" dataDxfId="196">
      <calculatedColumnFormula>M7/M$26</calculatedColumnFormula>
    </tableColumn>
    <tableColumn id="27" name="11 月 %" dataDxfId="197">
      <calculatedColumnFormula>N7/N$26</calculatedColumnFormula>
    </tableColumn>
    <tableColumn id="28" name="12 月 %" dataDxfId="198">
      <calculatedColumnFormula>O7/O$26</calculatedColumnFormula>
    </tableColumn>
    <tableColumn id="29" name="年度 %" dataDxfId="19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totalsRowCount="1">
  <autoFilter xmlns:etc="http://www.wps.cn/officeDocument/2017/etCustomData" ref="B14:O18" etc:filterBottomFollowUsedRange="0"/>
  <tableColumns count="14">
    <tableColumn id="1" name="固定资产：" dataDxfId="200" totalsRowLabel="固定资产总额"/>
    <tableColumn id="2" name="上一年度" dataDxfId="201" totalsRowFunction="sum"/>
    <tableColumn id="3" name="1月" dataDxfId="202" totalsRowFunction="sum"/>
    <tableColumn id="6" name="2月" dataDxfId="203" totalsRowFunction="sum"/>
    <tableColumn id="7" name="3月" dataDxfId="204" totalsRowFunction="sum"/>
    <tableColumn id="8" name="4月" dataDxfId="205" totalsRowFunction="sum"/>
    <tableColumn id="9" name="5月" dataDxfId="206" totalsRowFunction="sum"/>
    <tableColumn id="10" name="6月" dataDxfId="207" totalsRowFunction="sum"/>
    <tableColumn id="11" name="7月" dataDxfId="208" totalsRowFunction="sum"/>
    <tableColumn id="12" name="8月" dataDxfId="209" totalsRowFunction="sum"/>
    <tableColumn id="13" name="9月" dataDxfId="210" totalsRowFunction="sum"/>
    <tableColumn id="14" name="10月" dataDxfId="211" totalsRowFunction="sum"/>
    <tableColumn id="15" name="11月" dataDxfId="212" totalsRowFunction="sum"/>
    <tableColumn id="16" name="12月" dataDxfId="213" totalsRowFunction="sum"/>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totalsRowCount="1">
  <autoFilter xmlns:etc="http://www.wps.cn/officeDocument/2017/etCustomData" ref="B21:O22" etc:filterBottomFollowUsedRange="0"/>
  <tableColumns count="14">
    <tableColumn id="1" name="其他资产：" dataDxfId="214" totalsRowLabel="其他资产总额"/>
    <tableColumn id="2" name="上一年度" dataDxfId="215" totalsRowFunction="sum"/>
    <tableColumn id="3" name="1月" dataDxfId="216" totalsRowFunction="sum"/>
    <tableColumn id="4" name="2月" dataDxfId="217" totalsRowFunction="sum"/>
    <tableColumn id="5" name="3月" dataDxfId="218" totalsRowFunction="sum"/>
    <tableColumn id="6" name="4月" dataDxfId="219" totalsRowFunction="sum"/>
    <tableColumn id="7" name="5月" dataDxfId="220" totalsRowFunction="sum"/>
    <tableColumn id="8" name="6月" dataDxfId="221" totalsRowFunction="sum"/>
    <tableColumn id="9" name="7月" dataDxfId="222" totalsRowFunction="sum"/>
    <tableColumn id="10" name="8月" dataDxfId="223" totalsRowFunction="sum"/>
    <tableColumn id="11" name="9月" dataDxfId="224" totalsRowFunction="sum"/>
    <tableColumn id="12" name="10月" dataDxfId="225" totalsRowFunction="sum"/>
    <tableColumn id="13" name="11月" dataDxfId="226" totalsRowFunction="sum"/>
    <tableColumn id="14" name="12月" dataDxfId="227" totalsRowFunction="sum"/>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totalsRowCount="1">
  <autoFilter xmlns:etc="http://www.wps.cn/officeDocument/2017/etCustomData" ref="B28:O34" etc:filterBottomFollowUsedRange="0"/>
  <tableColumns count="14">
    <tableColumn id="1" name="流动负债：" dataDxfId="228" totalsRowLabel="流动负债总额"/>
    <tableColumn id="2" name="上一年度" dataDxfId="229" totalsRowFunction="sum"/>
    <tableColumn id="3" name="1月" dataDxfId="230" totalsRowFunction="sum"/>
    <tableColumn id="4" name="2月" dataDxfId="231" totalsRowFunction="sum"/>
    <tableColumn id="5" name="3月" dataDxfId="232" totalsRowFunction="sum"/>
    <tableColumn id="6" name="4月" dataDxfId="233" totalsRowFunction="sum"/>
    <tableColumn id="7" name="5月" dataDxfId="234" totalsRowFunction="sum"/>
    <tableColumn id="8" name="6月" dataDxfId="235" totalsRowFunction="sum"/>
    <tableColumn id="9" name="7月" dataDxfId="236" totalsRowFunction="sum"/>
    <tableColumn id="10" name="8月" dataDxfId="237" totalsRowFunction="sum"/>
    <tableColumn id="11" name="9月" dataDxfId="238" totalsRowFunction="sum"/>
    <tableColumn id="12" name="10月" dataDxfId="239" totalsRowFunction="sum"/>
    <tableColumn id="13" name="11月" dataDxfId="240" totalsRowFunction="sum"/>
    <tableColumn id="14" name="12月" dataDxfId="241" totalsRowFunction="sum"/>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totalsRowCount="1">
  <autoFilter xmlns:etc="http://www.wps.cn/officeDocument/2017/etCustomData" ref="B37:O38" etc:filterBottomFollowUsedRange="0"/>
  <tableColumns count="14">
    <tableColumn id="1" name="长期负债：" dataDxfId="242" totalsRowLabel="长期负债总额"/>
    <tableColumn id="2" name="上一年度" dataDxfId="243" totalsRowFunction="sum"/>
    <tableColumn id="3" name="1月" dataDxfId="244" totalsRowFunction="sum"/>
    <tableColumn id="4" name="2月" dataDxfId="245" totalsRowFunction="sum"/>
    <tableColumn id="5" name="3月" dataDxfId="246" totalsRowFunction="sum"/>
    <tableColumn id="6" name="4月" dataDxfId="247" totalsRowFunction="sum"/>
    <tableColumn id="7" name="5月" dataDxfId="248" totalsRowFunction="sum"/>
    <tableColumn id="8" name="6月" dataDxfId="249" totalsRowFunction="sum"/>
    <tableColumn id="9" name="7月" dataDxfId="250" totalsRowFunction="sum"/>
    <tableColumn id="10" name="8月" dataDxfId="251" totalsRowFunction="sum"/>
    <tableColumn id="11" name="9月" dataDxfId="252" totalsRowFunction="sum"/>
    <tableColumn id="12" name="10月" dataDxfId="253" totalsRowFunction="sum"/>
    <tableColumn id="13" name="11月" dataDxfId="254" totalsRowFunction="sum"/>
    <tableColumn id="14" name="12月" dataDxfId="255" totalsRowFunction="sum"/>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totalsRowCount="1">
  <autoFilter xmlns:etc="http://www.wps.cn/officeDocument/2017/etCustomData" ref="B41:O43" etc:filterBottomFollowUsedRange="0"/>
  <tableColumns count="14">
    <tableColumn id="1" name="所有者权益：" dataDxfId="256" totalsRowLabel="所有者权益总额"/>
    <tableColumn id="2" name="上一年度" dataDxfId="257" totalsRowFunction="sum"/>
    <tableColumn id="3" name="1月" dataDxfId="258" totalsRowFunction="sum"/>
    <tableColumn id="4" name="2月" dataDxfId="259" totalsRowFunction="sum"/>
    <tableColumn id="5" name="3月" dataDxfId="260" totalsRowFunction="sum"/>
    <tableColumn id="6" name="4月" dataDxfId="261" totalsRowFunction="sum"/>
    <tableColumn id="7" name="5月" dataDxfId="262" totalsRowFunction="sum"/>
    <tableColumn id="8" name="6月" dataDxfId="263" totalsRowFunction="sum"/>
    <tableColumn id="9" name="7月" dataDxfId="264" totalsRowFunction="sum"/>
    <tableColumn id="10" name="8月" dataDxfId="265" totalsRowFunction="sum"/>
    <tableColumn id="11" name="9月" dataDxfId="266" totalsRowFunction="sum"/>
    <tableColumn id="12" name="10月" dataDxfId="267" totalsRowFunction="sum"/>
    <tableColumn id="13" name="11月" dataDxfId="268" totalsRowFunction="sum"/>
    <tableColumn id="14" name="12月" dataDxfId="269" totalsRowFunction="sum"/>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totalsRowCount="1">
  <autoFilter xmlns:etc="http://www.wps.cn/officeDocument/2017/etCustomData" ref="B5:O11" etc:filterBottomFollowUsedRange="0"/>
  <tableColumns count="14">
    <tableColumn id="1" name="流动资产：" dataDxfId="270" totalsRowLabel="流动资产总额"/>
    <tableColumn id="2" name="上一年度" dataDxfId="271" totalsRowFunction="sum"/>
    <tableColumn id="3" name="1月" dataDxfId="272" totalsRowFunction="sum"/>
    <tableColumn id="4" name="2月" dataDxfId="273" totalsRowFunction="sum"/>
    <tableColumn id="5" name="3月" dataDxfId="274" totalsRowFunction="sum"/>
    <tableColumn id="6" name="4月" dataDxfId="275" totalsRowFunction="sum"/>
    <tableColumn id="7" name="5月" dataDxfId="276" totalsRowFunction="sum"/>
    <tableColumn id="8" name="6月" dataDxfId="277" totalsRowFunction="sum"/>
    <tableColumn id="9" name="7月" dataDxfId="278" totalsRowFunction="sum"/>
    <tableColumn id="10" name="8月" dataDxfId="279" totalsRowFunction="sum"/>
    <tableColumn id="11" name="9月" dataDxfId="280" totalsRowFunction="sum"/>
    <tableColumn id="12" name="10月" dataDxfId="281" totalsRowFunction="sum"/>
    <tableColumn id="13" name="11月" dataDxfId="282" totalsRowFunction="sum"/>
    <tableColumn id="14" name="12月" dataDxfId="283" totalsRowFunction="sum"/>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7" Type="http://schemas.openxmlformats.org/officeDocument/2006/relationships/table" Target="../tables/table5.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13.xml"/><Relationship Id="rId8" Type="http://schemas.openxmlformats.org/officeDocument/2006/relationships/table" Target="../tables/table12.xml"/><Relationship Id="rId7" Type="http://schemas.openxmlformats.org/officeDocument/2006/relationships/table" Target="../tables/table11.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3" Type="http://schemas.openxmlformats.org/officeDocument/2006/relationships/table" Target="../tables/table7.xml"/><Relationship Id="rId2" Type="http://schemas.openxmlformats.org/officeDocument/2006/relationships/table" Target="../tables/table6.xml"/><Relationship Id="rId13" Type="http://schemas.openxmlformats.org/officeDocument/2006/relationships/table" Target="../tables/table17.xml"/><Relationship Id="rId12" Type="http://schemas.openxmlformats.org/officeDocument/2006/relationships/table" Target="../tables/table16.xml"/><Relationship Id="rId11" Type="http://schemas.openxmlformats.org/officeDocument/2006/relationships/table" Target="../tables/table15.xml"/><Relationship Id="rId10" Type="http://schemas.openxmlformats.org/officeDocument/2006/relationships/table" Target="../tables/table14.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table" Target="../tables/table2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249977111117893"/>
  </sheetPr>
  <dimension ref="A1:T172"/>
  <sheetViews>
    <sheetView showGridLines="0" tabSelected="1" zoomScale="117" zoomScaleNormal="117" workbookViewId="0">
      <selection activeCell="I12" sqref="B12:I12"/>
    </sheetView>
  </sheetViews>
  <sheetFormatPr defaultColWidth="9" defaultRowHeight="26" customHeight="1"/>
  <cols>
    <col min="1" max="1" width="5.5" style="324" customWidth="1"/>
    <col min="2" max="2" width="14.6666666666667" style="325" customWidth="1"/>
    <col min="3" max="3" width="22.1666666666667" style="324" customWidth="1"/>
    <col min="4" max="4" width="18.1666666666667" style="324" customWidth="1"/>
    <col min="5" max="5" width="13.6666666666667" style="326" customWidth="1"/>
    <col min="6" max="7" width="19" style="324" customWidth="1"/>
    <col min="8" max="8" width="13.6666666666667" style="327" customWidth="1"/>
    <col min="9" max="9" width="16.3333333333333" style="324" customWidth="1"/>
    <col min="10" max="10" width="0.666666666666667" style="328" customWidth="1"/>
    <col min="11" max="11" width="12.5" style="328" customWidth="1"/>
    <col min="12" max="12" width="12.6666666666667" style="328" customWidth="1"/>
    <col min="13" max="16384" width="9" style="328" customWidth="1"/>
  </cols>
  <sheetData>
    <row r="1" ht="38" customHeight="1" spans="1:20">
      <c r="A1" s="329" t="s">
        <v>0</v>
      </c>
    </row>
    <row r="2" ht="4" customHeight="1" spans="1:20">
      <c r="A2" s="328"/>
      <c r="B2" s="330"/>
      <c r="C2" s="328"/>
      <c r="D2" s="328"/>
      <c r="E2" s="331"/>
      <c r="F2" s="328"/>
      <c r="G2" s="328"/>
      <c r="H2" s="331"/>
      <c r="I2" s="328"/>
    </row>
    <row r="3" ht="18" customHeight="1" spans="1:20">
      <c r="A3" s="332" t="s">
        <v>1</v>
      </c>
      <c r="B3" s="333" t="s">
        <v>2</v>
      </c>
      <c r="C3" s="332" t="s">
        <v>3</v>
      </c>
      <c r="D3" s="334"/>
      <c r="E3" s="335"/>
      <c r="F3" s="332" t="s">
        <v>4</v>
      </c>
      <c r="G3" s="334"/>
      <c r="H3" s="335"/>
      <c r="I3" s="332" t="s">
        <v>5</v>
      </c>
      <c r="K3" s="336">
        <f ca="1">YEAR(TODAY())</f>
        <v>2026</v>
      </c>
      <c r="L3" s="337"/>
    </row>
    <row r="4" ht="18" customHeight="1" spans="1:20">
      <c r="A4" s="338"/>
      <c r="B4" s="338"/>
      <c r="C4" s="332" t="s">
        <v>6</v>
      </c>
      <c r="D4" s="332" t="s">
        <v>7</v>
      </c>
      <c r="E4" s="339" t="s">
        <v>8</v>
      </c>
      <c r="F4" s="332" t="s">
        <v>6</v>
      </c>
      <c r="G4" s="332" t="s">
        <v>7</v>
      </c>
      <c r="H4" s="339" t="s">
        <v>8</v>
      </c>
      <c r="I4" s="338"/>
      <c r="K4" s="340"/>
      <c r="L4" s="341"/>
    </row>
    <row r="5" customHeight="1" spans="1:20">
      <c r="A5" s="342">
        <v>1</v>
      </c>
      <c r="B5" s="343">
        <v>46138</v>
      </c>
      <c r="C5" s="342" t="s">
        <v>9</v>
      </c>
      <c r="D5" s="342" t="s">
        <v>10</v>
      </c>
      <c r="E5" s="344">
        <v>30000</v>
      </c>
      <c r="F5" s="345" t="s">
        <v>11</v>
      </c>
      <c r="G5" s="345" t="s">
        <v>12</v>
      </c>
      <c r="H5" s="346">
        <v>48.28</v>
      </c>
      <c r="I5" s="342" t="s">
        <v>13</v>
      </c>
      <c r="K5" s="347">
        <v>4</v>
      </c>
      <c r="L5" s="341"/>
    </row>
    <row r="6" customHeight="1" spans="1:20">
      <c r="A6" s="342">
        <v>2</v>
      </c>
      <c r="B6" s="348">
        <v>46138</v>
      </c>
      <c r="C6" s="342"/>
      <c r="D6" s="342"/>
      <c r="E6" s="344"/>
      <c r="F6" s="345" t="s">
        <v>14</v>
      </c>
      <c r="G6" s="345" t="s">
        <v>12</v>
      </c>
      <c r="H6" s="346">
        <v>48.27</v>
      </c>
      <c r="I6" s="342" t="s">
        <v>15</v>
      </c>
      <c r="K6" s="349" t="s">
        <v>16</v>
      </c>
      <c r="L6" s="341"/>
    </row>
    <row r="7" customHeight="1" spans="1:20">
      <c r="A7" s="342">
        <v>3</v>
      </c>
      <c r="B7" s="348">
        <v>46138</v>
      </c>
      <c r="C7" s="342"/>
      <c r="D7" s="342"/>
      <c r="E7" s="344"/>
      <c r="F7" s="345" t="s">
        <v>17</v>
      </c>
      <c r="G7" s="345" t="s">
        <v>12</v>
      </c>
      <c r="H7" s="346">
        <v>380.12</v>
      </c>
      <c r="I7" s="342" t="s">
        <v>18</v>
      </c>
      <c r="K7" s="350">
        <f ca="1" t="array" ref="K7">SUMPRODUCT(($E$5:$E$17200)*(YEAR($B$5:$B$17200)=$K$3)*(MONTH($B$5:$B$17200)=$K$5))</f>
        <v>30680</v>
      </c>
      <c r="L7" s="341"/>
    </row>
    <row r="8" customHeight="1" spans="1:20">
      <c r="A8" s="342">
        <v>4</v>
      </c>
      <c r="B8" s="348">
        <v>46138</v>
      </c>
      <c r="C8" s="342"/>
      <c r="D8" s="342"/>
      <c r="E8" s="344"/>
      <c r="F8" s="345" t="s">
        <v>19</v>
      </c>
      <c r="G8" s="345" t="s">
        <v>12</v>
      </c>
      <c r="H8" s="346">
        <v>58.1</v>
      </c>
      <c r="I8" s="342" t="s">
        <v>18</v>
      </c>
      <c r="K8" s="349" t="s">
        <v>20</v>
      </c>
      <c r="L8" s="341"/>
    </row>
    <row r="9" customHeight="1" spans="1:20">
      <c r="A9" s="342">
        <v>5</v>
      </c>
      <c r="B9" s="348">
        <v>46138</v>
      </c>
      <c r="C9" s="342"/>
      <c r="D9" s="342"/>
      <c r="E9" s="344"/>
      <c r="F9" s="345" t="s">
        <v>21</v>
      </c>
      <c r="G9" s="345" t="s">
        <v>12</v>
      </c>
      <c r="H9" s="346">
        <v>35.66</v>
      </c>
      <c r="I9" s="342" t="s">
        <v>22</v>
      </c>
      <c r="K9" s="351">
        <f ca="1">SUMPRODUCT(($H$5:$H$17200)*(YEAR($B$5:$B$17200)=$K$3)*(MONTH($B$5:$B$17200)=$K$5))</f>
        <v>1209.36</v>
      </c>
      <c r="L9" s="341"/>
    </row>
    <row r="10" customHeight="1" spans="1:20">
      <c r="A10" s="342">
        <v>6</v>
      </c>
      <c r="B10" s="348">
        <v>46138</v>
      </c>
      <c r="C10" s="342"/>
      <c r="D10" s="342"/>
      <c r="E10" s="344"/>
      <c r="F10" s="345" t="s">
        <v>23</v>
      </c>
      <c r="G10" s="345" t="s">
        <v>12</v>
      </c>
      <c r="H10" s="346">
        <v>38.93</v>
      </c>
      <c r="I10" s="342" t="s">
        <v>22</v>
      </c>
      <c r="K10" s="349" t="s">
        <v>24</v>
      </c>
      <c r="L10" s="341"/>
    </row>
    <row r="11" customHeight="1" spans="1:20">
      <c r="A11" s="342">
        <v>7</v>
      </c>
      <c r="B11" s="343">
        <v>46139</v>
      </c>
      <c r="C11" s="342" t="s">
        <v>25</v>
      </c>
      <c r="D11" s="342" t="s">
        <v>26</v>
      </c>
      <c r="E11" s="344">
        <v>680</v>
      </c>
      <c r="F11" s="342" t="s">
        <v>27</v>
      </c>
      <c r="G11" s="342" t="s">
        <v>28</v>
      </c>
      <c r="H11" s="346">
        <v>600</v>
      </c>
      <c r="I11" s="342" t="s">
        <v>29</v>
      </c>
      <c r="K11" s="352">
        <f ca="1">K7-K9</f>
        <v>29470.64</v>
      </c>
      <c r="L11" s="341"/>
    </row>
    <row r="12" customHeight="1" spans="1:20">
      <c r="A12" s="342">
        <v>8</v>
      </c>
      <c r="B12" s="348"/>
      <c r="E12" s="344"/>
      <c r="F12" s="342"/>
      <c r="G12" s="342"/>
      <c r="H12" s="346"/>
      <c r="I12" s="342"/>
      <c r="K12" s="353" t="s">
        <v>30</v>
      </c>
      <c r="L12" s="341"/>
      <c r="O12" s="192"/>
      <c r="P12" s="192"/>
      <c r="Q12" s="192"/>
      <c r="R12" s="192"/>
      <c r="S12" s="192"/>
      <c r="T12" s="192"/>
    </row>
    <row r="13" customHeight="1" spans="1:20">
      <c r="A13" s="342">
        <v>9</v>
      </c>
      <c r="B13" s="343"/>
      <c r="C13" s="342"/>
      <c r="D13" s="342"/>
      <c r="E13" s="344"/>
      <c r="F13" s="342"/>
      <c r="G13" s="342"/>
      <c r="H13" s="346"/>
      <c r="I13" s="342"/>
      <c r="K13" s="354" t="s">
        <v>31</v>
      </c>
      <c r="L13" s="341"/>
      <c r="O13" s="192"/>
      <c r="P13" s="192"/>
      <c r="Q13" s="192"/>
      <c r="R13" s="192"/>
      <c r="S13" s="192"/>
      <c r="T13" s="192"/>
    </row>
    <row r="14" customHeight="1" spans="1:20">
      <c r="A14" s="342">
        <v>10</v>
      </c>
      <c r="B14" s="343"/>
      <c r="C14" s="342"/>
      <c r="D14" s="342"/>
      <c r="E14" s="344"/>
      <c r="F14" s="342"/>
      <c r="G14" s="342"/>
      <c r="H14" s="346"/>
      <c r="I14" s="342"/>
      <c r="K14" s="355">
        <v>43831</v>
      </c>
      <c r="L14" s="356"/>
      <c r="O14" s="192"/>
      <c r="P14" s="192"/>
      <c r="Q14" s="192"/>
      <c r="R14" s="192"/>
      <c r="S14" s="192"/>
      <c r="T14" s="192"/>
    </row>
    <row r="15" customHeight="1" spans="1:20">
      <c r="A15" s="342">
        <v>11</v>
      </c>
      <c r="B15" s="343"/>
      <c r="C15" s="342"/>
      <c r="D15" s="342"/>
      <c r="E15" s="344"/>
      <c r="F15" s="342"/>
      <c r="G15" s="342"/>
      <c r="H15" s="346"/>
      <c r="I15" s="342"/>
      <c r="K15" s="354" t="s">
        <v>32</v>
      </c>
      <c r="L15" s="341"/>
      <c r="O15" s="192"/>
      <c r="P15" s="192"/>
      <c r="Q15" s="192"/>
      <c r="R15" s="192"/>
      <c r="S15" s="192"/>
      <c r="T15" s="192"/>
    </row>
    <row r="16" customHeight="1" spans="1:20">
      <c r="A16" s="342"/>
      <c r="B16" s="343"/>
      <c r="C16" s="342"/>
      <c r="D16" s="342"/>
      <c r="E16" s="344"/>
      <c r="F16" s="342"/>
      <c r="G16" s="342"/>
      <c r="H16" s="346"/>
      <c r="I16" s="342"/>
      <c r="K16" s="355">
        <f ca="1">TODAY()</f>
        <v>46164</v>
      </c>
      <c r="L16" s="356"/>
      <c r="O16" s="192"/>
      <c r="P16" s="192"/>
      <c r="Q16" s="192"/>
      <c r="R16" s="192"/>
      <c r="S16" s="192"/>
      <c r="T16" s="192"/>
    </row>
    <row r="17" customHeight="1" spans="1:20">
      <c r="A17" s="342"/>
      <c r="B17" s="343"/>
      <c r="C17" s="342"/>
      <c r="D17" s="342"/>
      <c r="E17" s="344"/>
      <c r="F17" s="342"/>
      <c r="G17" s="342"/>
      <c r="H17" s="346"/>
      <c r="I17" s="342"/>
      <c r="K17" s="349" t="s">
        <v>16</v>
      </c>
      <c r="L17" s="341"/>
      <c r="O17" s="192"/>
      <c r="P17" s="192"/>
      <c r="Q17" s="192"/>
      <c r="R17" s="192"/>
      <c r="S17" s="192"/>
      <c r="T17" s="192"/>
    </row>
    <row r="18" customHeight="1" spans="1:20">
      <c r="A18" s="342"/>
      <c r="B18" s="343"/>
      <c r="C18" s="342"/>
      <c r="D18" s="342"/>
      <c r="E18" s="344"/>
      <c r="F18" s="342"/>
      <c r="G18" s="342"/>
      <c r="H18" s="346"/>
      <c r="I18" s="342"/>
      <c r="K18" s="350">
        <f ca="1" t="array" ref="K18">SUMPRODUCT(($E$5:$E$17200)*(($B$5:$B$17200)&gt;=$K$14)*(($B$5:$B$17200)&lt;=$K$16))</f>
        <v>30680</v>
      </c>
      <c r="L18" s="341"/>
    </row>
    <row r="19" customHeight="1" spans="1:20">
      <c r="A19" s="342"/>
      <c r="B19" s="343"/>
      <c r="C19" s="342"/>
      <c r="D19" s="342"/>
      <c r="E19" s="344"/>
      <c r="F19" s="342"/>
      <c r="G19" s="342"/>
      <c r="H19" s="346"/>
      <c r="I19" s="342"/>
      <c r="K19" s="349" t="s">
        <v>20</v>
      </c>
      <c r="L19" s="341"/>
    </row>
    <row r="20" customHeight="1" spans="1:20">
      <c r="A20" s="342"/>
      <c r="B20" s="343"/>
      <c r="C20" s="342"/>
      <c r="D20" s="342"/>
      <c r="E20" s="344"/>
      <c r="F20" s="342"/>
      <c r="G20" s="342"/>
      <c r="H20" s="346"/>
      <c r="I20" s="342"/>
      <c r="K20" s="351">
        <f ca="1">SUMPRODUCT(($H$5:$H$17200)*(($B$5:$B$17200)&gt;=$K$14)*(($B$5:$B$17200)&lt;=$K$16))</f>
        <v>1209.36</v>
      </c>
      <c r="L20" s="341"/>
    </row>
    <row r="21" customHeight="1" spans="1:20">
      <c r="A21" s="342"/>
      <c r="B21" s="343"/>
      <c r="C21" s="342"/>
      <c r="D21" s="342"/>
      <c r="E21" s="344"/>
      <c r="F21" s="342"/>
      <c r="G21" s="342"/>
      <c r="H21" s="346"/>
      <c r="I21" s="342"/>
      <c r="K21" s="349" t="s">
        <v>24</v>
      </c>
      <c r="L21" s="341"/>
    </row>
    <row r="22" customHeight="1" spans="1:20">
      <c r="A22" s="342"/>
      <c r="B22" s="343"/>
      <c r="C22" s="342"/>
      <c r="D22" s="342"/>
      <c r="E22" s="344"/>
      <c r="F22" s="342"/>
      <c r="G22" s="342"/>
      <c r="H22" s="346"/>
      <c r="I22" s="342"/>
      <c r="K22" s="352">
        <f ca="1">K18-K20</f>
        <v>29470.64</v>
      </c>
      <c r="L22" s="341"/>
    </row>
    <row r="23" customHeight="1" spans="1:20">
      <c r="A23" s="342"/>
      <c r="B23" s="343"/>
      <c r="C23" s="342"/>
      <c r="D23" s="342"/>
      <c r="E23" s="344"/>
      <c r="F23" s="342"/>
      <c r="G23" s="342"/>
      <c r="H23" s="346"/>
      <c r="I23" s="342"/>
      <c r="K23" s="357"/>
      <c r="L23" s="358"/>
    </row>
    <row r="24" customHeight="1" spans="1:20">
      <c r="A24" s="342"/>
      <c r="B24" s="343"/>
      <c r="C24" s="342"/>
      <c r="D24" s="342"/>
      <c r="E24" s="344"/>
      <c r="F24" s="342"/>
      <c r="G24" s="342"/>
      <c r="H24" s="346"/>
      <c r="I24" s="342"/>
      <c r="K24" s="357"/>
      <c r="L24" s="358"/>
    </row>
    <row r="25" customHeight="1" spans="1:20">
      <c r="A25" s="342"/>
      <c r="B25" s="343"/>
      <c r="C25" s="342"/>
      <c r="D25" s="342"/>
      <c r="E25" s="344"/>
      <c r="F25" s="342"/>
      <c r="G25" s="342"/>
      <c r="H25" s="346"/>
      <c r="I25" s="342"/>
      <c r="K25" s="357"/>
      <c r="L25" s="358"/>
    </row>
    <row r="26" customHeight="1" spans="1:20">
      <c r="A26" s="342"/>
      <c r="B26" s="343"/>
      <c r="C26" s="342"/>
      <c r="D26" s="342"/>
      <c r="E26" s="344"/>
      <c r="F26" s="342"/>
      <c r="G26" s="342"/>
      <c r="H26" s="346"/>
      <c r="I26" s="342"/>
      <c r="K26" s="359"/>
      <c r="L26" s="360"/>
    </row>
    <row r="27" customHeight="1" spans="1:20">
      <c r="A27" s="342"/>
      <c r="B27" s="343"/>
      <c r="C27" s="342"/>
      <c r="D27" s="342"/>
      <c r="E27" s="344"/>
      <c r="F27" s="342"/>
      <c r="G27" s="342"/>
      <c r="H27" s="346"/>
      <c r="I27" s="342"/>
      <c r="K27" s="361"/>
      <c r="L27" s="361"/>
    </row>
    <row r="28" customHeight="1" spans="1:20">
      <c r="A28" s="342"/>
      <c r="B28" s="343"/>
      <c r="C28" s="342"/>
      <c r="D28" s="342"/>
      <c r="E28" s="344"/>
      <c r="F28" s="342"/>
      <c r="G28" s="342"/>
      <c r="H28" s="346"/>
      <c r="I28" s="342"/>
      <c r="K28" s="361"/>
      <c r="L28" s="361"/>
    </row>
    <row r="29" customHeight="1" spans="1:20">
      <c r="A29" s="342"/>
      <c r="B29" s="343"/>
      <c r="C29" s="342"/>
      <c r="D29" s="342"/>
      <c r="E29" s="344"/>
      <c r="F29" s="342"/>
      <c r="G29" s="342"/>
      <c r="H29" s="346"/>
      <c r="I29" s="342"/>
      <c r="K29" s="361"/>
      <c r="L29" s="361"/>
    </row>
    <row r="30" customHeight="1" spans="1:20">
      <c r="A30" s="342"/>
      <c r="B30" s="343"/>
      <c r="C30" s="342"/>
      <c r="D30" s="342"/>
      <c r="E30" s="344"/>
      <c r="F30" s="342"/>
      <c r="G30" s="342"/>
      <c r="H30" s="346"/>
      <c r="I30" s="342"/>
      <c r="K30" s="361"/>
      <c r="L30" s="361"/>
    </row>
    <row r="31" customHeight="1" spans="1:20">
      <c r="A31" s="342"/>
      <c r="B31" s="343"/>
      <c r="C31" s="342"/>
      <c r="D31" s="342"/>
      <c r="E31" s="344"/>
      <c r="F31" s="342"/>
      <c r="G31" s="342"/>
      <c r="H31" s="346"/>
      <c r="I31" s="342"/>
      <c r="K31" s="361"/>
      <c r="L31" s="361"/>
    </row>
    <row r="32" customHeight="1" spans="1:20">
      <c r="A32" s="342"/>
      <c r="B32" s="343"/>
      <c r="C32" s="342"/>
      <c r="D32" s="342"/>
      <c r="E32" s="344"/>
      <c r="F32" s="342"/>
      <c r="G32" s="342"/>
      <c r="H32" s="346"/>
      <c r="I32" s="342"/>
      <c r="K32" s="361"/>
      <c r="L32" s="361"/>
    </row>
    <row r="33" customHeight="1" spans="1:12">
      <c r="A33" s="342"/>
      <c r="B33" s="343"/>
      <c r="C33" s="342"/>
      <c r="D33" s="342"/>
      <c r="E33" s="344"/>
      <c r="F33" s="342"/>
      <c r="G33" s="342"/>
      <c r="H33" s="346"/>
      <c r="I33" s="342"/>
      <c r="K33" s="361"/>
      <c r="L33" s="361"/>
    </row>
    <row r="34" customHeight="1" spans="1:12">
      <c r="A34" s="342"/>
      <c r="B34" s="343"/>
      <c r="C34" s="342"/>
      <c r="D34" s="342"/>
      <c r="E34" s="344"/>
      <c r="F34" s="342"/>
      <c r="G34" s="342"/>
      <c r="H34" s="346"/>
      <c r="I34" s="342"/>
      <c r="K34" s="361"/>
      <c r="L34" s="361"/>
    </row>
    <row r="35" customHeight="1" spans="1:12">
      <c r="A35" s="342"/>
      <c r="B35" s="343"/>
      <c r="C35" s="342"/>
      <c r="D35" s="342"/>
      <c r="E35" s="344"/>
      <c r="F35" s="342"/>
      <c r="G35" s="342"/>
      <c r="H35" s="346"/>
      <c r="I35" s="342"/>
      <c r="K35" s="361"/>
      <c r="L35" s="361"/>
    </row>
    <row r="36" customHeight="1" spans="1:12">
      <c r="A36" s="342"/>
      <c r="B36" s="343"/>
      <c r="C36" s="342"/>
      <c r="D36" s="342"/>
      <c r="E36" s="344"/>
      <c r="F36" s="342"/>
      <c r="G36" s="342"/>
      <c r="H36" s="346"/>
      <c r="I36" s="342"/>
      <c r="K36" s="361"/>
      <c r="L36" s="361"/>
    </row>
    <row r="37" customHeight="1" spans="1:12">
      <c r="A37" s="342"/>
      <c r="B37" s="343"/>
      <c r="C37" s="342"/>
      <c r="D37" s="342"/>
      <c r="E37" s="344"/>
      <c r="F37" s="342"/>
      <c r="G37" s="342"/>
      <c r="H37" s="346"/>
      <c r="I37" s="342"/>
      <c r="K37" s="361"/>
      <c r="L37" s="361"/>
    </row>
    <row r="38" customHeight="1" spans="1:12">
      <c r="A38" s="342"/>
      <c r="B38" s="343"/>
      <c r="C38" s="342"/>
      <c r="D38" s="342"/>
      <c r="E38" s="344"/>
      <c r="F38" s="342"/>
      <c r="G38" s="342"/>
      <c r="H38" s="346"/>
      <c r="I38" s="342"/>
      <c r="K38" s="361"/>
      <c r="L38" s="361"/>
    </row>
    <row r="39" customHeight="1" spans="1:12">
      <c r="A39" s="342"/>
      <c r="B39" s="343"/>
      <c r="C39" s="342"/>
      <c r="D39" s="342"/>
      <c r="E39" s="344"/>
      <c r="F39" s="342"/>
      <c r="G39" s="342"/>
      <c r="H39" s="346"/>
      <c r="I39" s="342"/>
      <c r="K39" s="361"/>
      <c r="L39" s="361"/>
    </row>
    <row r="40" customHeight="1" spans="1:12">
      <c r="A40" s="342"/>
      <c r="B40" s="343"/>
      <c r="C40" s="342"/>
      <c r="D40" s="342"/>
      <c r="E40" s="344"/>
      <c r="F40" s="342"/>
      <c r="G40" s="342"/>
      <c r="H40" s="346"/>
      <c r="I40" s="342"/>
      <c r="K40" s="361"/>
      <c r="L40" s="361"/>
    </row>
    <row r="41" customHeight="1" spans="1:12">
      <c r="A41" s="342"/>
      <c r="B41" s="343"/>
      <c r="C41" s="342"/>
      <c r="D41" s="342"/>
      <c r="E41" s="344"/>
      <c r="F41" s="342"/>
      <c r="G41" s="342"/>
      <c r="H41" s="346"/>
      <c r="I41" s="342"/>
      <c r="K41" s="361"/>
      <c r="L41" s="361"/>
    </row>
    <row r="42" customHeight="1" spans="1:12">
      <c r="A42" s="342"/>
      <c r="B42" s="343"/>
      <c r="C42" s="342"/>
      <c r="D42" s="342"/>
      <c r="E42" s="344"/>
      <c r="F42" s="342"/>
      <c r="G42" s="342"/>
      <c r="H42" s="346"/>
      <c r="I42" s="342"/>
      <c r="K42" s="361"/>
      <c r="L42" s="361"/>
    </row>
    <row r="43" customHeight="1" spans="1:12">
      <c r="A43" s="342"/>
      <c r="B43" s="343"/>
      <c r="C43" s="342"/>
      <c r="D43" s="342"/>
      <c r="E43" s="344"/>
      <c r="F43" s="342"/>
      <c r="G43" s="342"/>
      <c r="H43" s="346"/>
      <c r="I43" s="342"/>
      <c r="K43" s="361"/>
      <c r="L43" s="361"/>
    </row>
    <row r="44" customHeight="1" spans="1:12">
      <c r="A44" s="342"/>
      <c r="B44" s="343"/>
      <c r="C44" s="342"/>
      <c r="D44" s="342"/>
      <c r="E44" s="344"/>
      <c r="F44" s="342"/>
      <c r="G44" s="342"/>
      <c r="H44" s="346"/>
      <c r="I44" s="342"/>
      <c r="K44" s="361"/>
      <c r="L44" s="361"/>
    </row>
    <row r="45" customHeight="1" spans="1:12">
      <c r="A45" s="342"/>
      <c r="B45" s="343"/>
      <c r="C45" s="342"/>
      <c r="D45" s="342"/>
      <c r="E45" s="344"/>
      <c r="F45" s="342"/>
      <c r="G45" s="342"/>
      <c r="H45" s="346"/>
      <c r="I45" s="342"/>
      <c r="K45" s="361"/>
      <c r="L45" s="361"/>
    </row>
    <row r="46" customHeight="1" spans="1:12">
      <c r="A46" s="342"/>
      <c r="B46" s="343"/>
      <c r="C46" s="342"/>
      <c r="D46" s="342"/>
      <c r="E46" s="344"/>
      <c r="F46" s="342"/>
      <c r="G46" s="342"/>
      <c r="H46" s="346"/>
      <c r="I46" s="342"/>
      <c r="K46" s="361"/>
      <c r="L46" s="361"/>
    </row>
    <row r="47" customHeight="1" spans="1:12">
      <c r="A47" s="342"/>
      <c r="B47" s="343"/>
      <c r="C47" s="342"/>
      <c r="D47" s="342"/>
      <c r="E47" s="344"/>
      <c r="F47" s="342"/>
      <c r="G47" s="342"/>
      <c r="H47" s="346"/>
      <c r="I47" s="342"/>
    </row>
    <row r="48" customHeight="1" spans="1:12">
      <c r="A48" s="342"/>
      <c r="B48" s="343"/>
      <c r="C48" s="342"/>
      <c r="D48" s="342"/>
      <c r="E48" s="344"/>
      <c r="F48" s="342"/>
      <c r="G48" s="342"/>
      <c r="H48" s="346"/>
      <c r="I48" s="342"/>
    </row>
    <row r="49" customHeight="1" spans="1:9">
      <c r="A49" s="342"/>
      <c r="B49" s="343"/>
      <c r="C49" s="342"/>
      <c r="D49" s="342"/>
      <c r="E49" s="344"/>
      <c r="F49" s="342"/>
      <c r="G49" s="342"/>
      <c r="H49" s="346"/>
      <c r="I49" s="342"/>
    </row>
    <row r="50" customHeight="1" spans="1:9">
      <c r="A50" s="342"/>
      <c r="B50" s="343"/>
      <c r="C50" s="342"/>
      <c r="D50" s="342"/>
      <c r="E50" s="344"/>
      <c r="F50" s="342"/>
      <c r="G50" s="342"/>
      <c r="H50" s="346"/>
      <c r="I50" s="342"/>
    </row>
    <row r="51" customHeight="1" spans="1:9">
      <c r="A51" s="342"/>
      <c r="B51" s="343"/>
      <c r="C51" s="342"/>
      <c r="D51" s="342"/>
      <c r="E51" s="344"/>
      <c r="F51" s="342"/>
      <c r="G51" s="342"/>
      <c r="H51" s="346"/>
      <c r="I51" s="342"/>
    </row>
    <row r="52" customHeight="1" spans="1:9">
      <c r="A52" s="342"/>
      <c r="B52" s="343"/>
      <c r="C52" s="342"/>
      <c r="D52" s="342"/>
      <c r="E52" s="344"/>
      <c r="F52" s="342"/>
      <c r="G52" s="342"/>
      <c r="H52" s="346"/>
      <c r="I52" s="342"/>
    </row>
    <row r="53" customHeight="1" spans="1:9">
      <c r="A53" s="342"/>
      <c r="B53" s="343"/>
      <c r="C53" s="342"/>
      <c r="D53" s="342"/>
      <c r="E53" s="344"/>
      <c r="F53" s="342"/>
      <c r="G53" s="342"/>
      <c r="H53" s="346"/>
      <c r="I53" s="342"/>
    </row>
    <row r="54" customHeight="1" spans="1:9">
      <c r="A54" s="342"/>
      <c r="B54" s="343"/>
      <c r="C54" s="342"/>
      <c r="D54" s="342"/>
      <c r="E54" s="344"/>
      <c r="F54" s="342"/>
      <c r="G54" s="342"/>
      <c r="H54" s="346"/>
      <c r="I54" s="342"/>
    </row>
    <row r="55" customHeight="1" spans="1:9">
      <c r="A55" s="342"/>
      <c r="B55" s="343"/>
      <c r="C55" s="342"/>
      <c r="D55" s="342"/>
      <c r="E55" s="344"/>
      <c r="F55" s="342"/>
      <c r="G55" s="342"/>
      <c r="H55" s="346"/>
      <c r="I55" s="342"/>
    </row>
    <row r="56" customHeight="1" spans="1:9">
      <c r="A56" s="342"/>
      <c r="B56" s="343"/>
      <c r="C56" s="342"/>
      <c r="D56" s="342"/>
      <c r="E56" s="344"/>
      <c r="F56" s="342"/>
      <c r="G56" s="342"/>
      <c r="H56" s="346"/>
      <c r="I56" s="342"/>
    </row>
    <row r="57" customHeight="1" spans="1:9">
      <c r="A57" s="342"/>
      <c r="B57" s="343"/>
      <c r="C57" s="342"/>
      <c r="D57" s="342"/>
      <c r="E57" s="344"/>
      <c r="F57" s="342"/>
      <c r="G57" s="342"/>
      <c r="H57" s="346"/>
      <c r="I57" s="342"/>
    </row>
    <row r="58" customHeight="1" spans="1:9">
      <c r="A58" s="342"/>
      <c r="B58" s="343"/>
      <c r="C58" s="342"/>
      <c r="D58" s="342"/>
      <c r="E58" s="344"/>
      <c r="F58" s="342"/>
      <c r="G58" s="342"/>
      <c r="H58" s="346"/>
      <c r="I58" s="342"/>
    </row>
    <row r="59" customHeight="1" spans="1:9">
      <c r="A59" s="342"/>
      <c r="B59" s="343"/>
      <c r="C59" s="342"/>
      <c r="D59" s="342"/>
      <c r="E59" s="344"/>
      <c r="F59" s="342"/>
      <c r="G59" s="342"/>
      <c r="H59" s="346"/>
      <c r="I59" s="342"/>
    </row>
    <row r="60" customHeight="1" spans="1:9">
      <c r="A60" s="342"/>
      <c r="B60" s="343"/>
      <c r="C60" s="342"/>
      <c r="D60" s="342"/>
      <c r="E60" s="344"/>
      <c r="F60" s="342"/>
      <c r="G60" s="342"/>
      <c r="H60" s="346"/>
      <c r="I60" s="342"/>
    </row>
    <row r="61" customHeight="1" spans="1:9">
      <c r="A61" s="342"/>
      <c r="B61" s="343"/>
      <c r="C61" s="342"/>
      <c r="D61" s="342"/>
      <c r="E61" s="344"/>
      <c r="F61" s="342"/>
      <c r="G61" s="342"/>
      <c r="H61" s="346"/>
      <c r="I61" s="342"/>
    </row>
    <row r="62" customHeight="1" spans="1:9">
      <c r="A62" s="342"/>
      <c r="B62" s="343"/>
      <c r="C62" s="342"/>
      <c r="D62" s="342"/>
      <c r="E62" s="344"/>
      <c r="F62" s="342"/>
      <c r="G62" s="342"/>
      <c r="H62" s="346"/>
      <c r="I62" s="342"/>
    </row>
    <row r="63" customHeight="1" spans="1:9">
      <c r="A63" s="342"/>
      <c r="B63" s="343"/>
      <c r="C63" s="342"/>
      <c r="D63" s="342"/>
      <c r="E63" s="344"/>
      <c r="F63" s="342"/>
      <c r="G63" s="342"/>
      <c r="H63" s="346"/>
      <c r="I63" s="342"/>
    </row>
    <row r="64" customHeight="1" spans="1:9">
      <c r="A64" s="342"/>
      <c r="B64" s="343"/>
      <c r="C64" s="342"/>
      <c r="D64" s="342"/>
      <c r="E64" s="344"/>
      <c r="F64" s="342"/>
      <c r="G64" s="342"/>
      <c r="H64" s="346"/>
      <c r="I64" s="342"/>
    </row>
    <row r="65" customHeight="1" spans="1:9">
      <c r="A65" s="342"/>
      <c r="B65" s="343"/>
      <c r="C65" s="342"/>
      <c r="D65" s="342"/>
      <c r="E65" s="344"/>
      <c r="F65" s="342"/>
      <c r="G65" s="342"/>
      <c r="H65" s="346"/>
      <c r="I65" s="342"/>
    </row>
    <row r="66" customHeight="1" spans="1:9">
      <c r="A66" s="342"/>
      <c r="B66" s="343"/>
      <c r="C66" s="342"/>
      <c r="D66" s="342"/>
      <c r="E66" s="344"/>
      <c r="F66" s="342"/>
      <c r="G66" s="342"/>
      <c r="H66" s="346"/>
      <c r="I66" s="342"/>
    </row>
    <row r="67" customHeight="1" spans="1:9">
      <c r="A67" s="342"/>
      <c r="B67" s="343"/>
      <c r="C67" s="342"/>
      <c r="D67" s="342"/>
      <c r="E67" s="344"/>
      <c r="F67" s="342"/>
      <c r="G67" s="342"/>
      <c r="H67" s="346"/>
      <c r="I67" s="342"/>
    </row>
    <row r="68" customHeight="1" spans="1:9">
      <c r="A68" s="342"/>
      <c r="B68" s="343"/>
      <c r="C68" s="342"/>
      <c r="D68" s="342"/>
      <c r="E68" s="344"/>
      <c r="F68" s="342"/>
      <c r="G68" s="342"/>
      <c r="H68" s="346"/>
      <c r="I68" s="342"/>
    </row>
    <row r="69" customHeight="1" spans="1:9">
      <c r="A69" s="342"/>
      <c r="B69" s="343"/>
      <c r="C69" s="342"/>
      <c r="D69" s="342"/>
      <c r="E69" s="344"/>
      <c r="F69" s="342"/>
      <c r="G69" s="342"/>
      <c r="H69" s="346"/>
      <c r="I69" s="342"/>
    </row>
    <row r="70" customHeight="1" spans="1:9">
      <c r="A70" s="342"/>
      <c r="B70" s="343"/>
      <c r="C70" s="342"/>
      <c r="D70" s="342"/>
      <c r="E70" s="344"/>
      <c r="F70" s="342"/>
      <c r="G70" s="342"/>
      <c r="H70" s="346"/>
      <c r="I70" s="342"/>
    </row>
    <row r="71" customHeight="1" spans="1:9">
      <c r="A71" s="342"/>
      <c r="B71" s="343"/>
      <c r="C71" s="342"/>
      <c r="D71" s="342"/>
      <c r="E71" s="344"/>
      <c r="F71" s="342"/>
      <c r="G71" s="342"/>
      <c r="H71" s="346"/>
      <c r="I71" s="342"/>
    </row>
    <row r="72" customHeight="1" spans="1:9">
      <c r="A72" s="342"/>
      <c r="B72" s="343"/>
      <c r="C72" s="342"/>
      <c r="D72" s="342"/>
      <c r="E72" s="344"/>
      <c r="F72" s="342"/>
      <c r="G72" s="342"/>
      <c r="H72" s="346"/>
      <c r="I72" s="342"/>
    </row>
    <row r="73" customHeight="1" spans="1:9">
      <c r="A73" s="342"/>
      <c r="B73" s="343"/>
      <c r="C73" s="342"/>
      <c r="D73" s="342"/>
      <c r="E73" s="344"/>
      <c r="F73" s="342"/>
      <c r="G73" s="342"/>
      <c r="H73" s="346"/>
      <c r="I73" s="342"/>
    </row>
    <row r="74" customHeight="1" spans="1:9">
      <c r="A74" s="342"/>
      <c r="B74" s="343"/>
      <c r="C74" s="342"/>
      <c r="D74" s="342"/>
      <c r="E74" s="344"/>
      <c r="F74" s="342"/>
      <c r="G74" s="342"/>
      <c r="H74" s="346"/>
      <c r="I74" s="342"/>
    </row>
    <row r="75" customHeight="1" spans="1:9">
      <c r="A75" s="342"/>
      <c r="B75" s="343"/>
      <c r="C75" s="342"/>
      <c r="D75" s="342"/>
      <c r="E75" s="344"/>
      <c r="F75" s="342"/>
      <c r="G75" s="342"/>
      <c r="H75" s="346"/>
      <c r="I75" s="342"/>
    </row>
    <row r="76" customHeight="1" spans="1:9">
      <c r="A76" s="342"/>
      <c r="B76" s="343"/>
      <c r="C76" s="342"/>
      <c r="D76" s="342"/>
      <c r="E76" s="344"/>
      <c r="F76" s="342"/>
      <c r="G76" s="342"/>
      <c r="H76" s="346"/>
      <c r="I76" s="342"/>
    </row>
    <row r="77" customHeight="1" spans="1:9">
      <c r="A77" s="342"/>
      <c r="B77" s="343"/>
      <c r="C77" s="342"/>
      <c r="D77" s="342"/>
      <c r="E77" s="344"/>
      <c r="F77" s="342"/>
      <c r="G77" s="342"/>
      <c r="H77" s="346"/>
      <c r="I77" s="342"/>
    </row>
    <row r="78" customHeight="1" spans="1:9">
      <c r="A78" s="342"/>
      <c r="B78" s="343"/>
      <c r="C78" s="342"/>
      <c r="D78" s="342"/>
      <c r="E78" s="344"/>
      <c r="F78" s="342"/>
      <c r="G78" s="342"/>
      <c r="H78" s="346"/>
      <c r="I78" s="342"/>
    </row>
    <row r="79" customHeight="1" spans="1:9">
      <c r="A79" s="342"/>
      <c r="B79" s="343"/>
      <c r="C79" s="342"/>
      <c r="D79" s="342"/>
      <c r="E79" s="344"/>
      <c r="F79" s="342"/>
      <c r="G79" s="342"/>
      <c r="H79" s="346"/>
      <c r="I79" s="342"/>
    </row>
    <row r="80" customHeight="1" spans="1:9">
      <c r="A80" s="342"/>
      <c r="B80" s="343"/>
      <c r="C80" s="342"/>
      <c r="D80" s="342"/>
      <c r="E80" s="344"/>
      <c r="F80" s="342"/>
      <c r="G80" s="342"/>
      <c r="H80" s="346"/>
      <c r="I80" s="342"/>
    </row>
    <row r="81" customHeight="1" spans="1:9">
      <c r="A81" s="342"/>
      <c r="B81" s="343"/>
      <c r="C81" s="342"/>
      <c r="D81" s="342"/>
      <c r="E81" s="344"/>
      <c r="F81" s="342"/>
      <c r="G81" s="342"/>
      <c r="H81" s="346"/>
      <c r="I81" s="342"/>
    </row>
    <row r="82" customHeight="1" spans="1:9">
      <c r="A82" s="342"/>
      <c r="B82" s="343"/>
      <c r="C82" s="342"/>
      <c r="D82" s="342"/>
      <c r="E82" s="344"/>
      <c r="F82" s="342"/>
      <c r="G82" s="342"/>
      <c r="H82" s="346"/>
      <c r="I82" s="342"/>
    </row>
    <row r="83" customHeight="1" spans="1:9">
      <c r="A83" s="342"/>
      <c r="B83" s="343"/>
      <c r="C83" s="342"/>
      <c r="D83" s="342"/>
      <c r="E83" s="344"/>
      <c r="F83" s="342"/>
      <c r="G83" s="342"/>
      <c r="H83" s="346"/>
      <c r="I83" s="342"/>
    </row>
    <row r="84" customHeight="1" spans="1:9">
      <c r="A84" s="342"/>
      <c r="B84" s="343"/>
      <c r="C84" s="342"/>
      <c r="D84" s="342"/>
      <c r="E84" s="344"/>
      <c r="F84" s="342"/>
      <c r="G84" s="342"/>
      <c r="H84" s="346"/>
      <c r="I84" s="342"/>
    </row>
    <row r="85" customHeight="1" spans="1:9">
      <c r="A85" s="342"/>
      <c r="B85" s="343"/>
      <c r="C85" s="342"/>
      <c r="D85" s="342"/>
      <c r="E85" s="344"/>
      <c r="F85" s="342"/>
      <c r="G85" s="342"/>
      <c r="H85" s="346"/>
      <c r="I85" s="342"/>
    </row>
    <row r="86" customHeight="1" spans="1:9">
      <c r="A86" s="342"/>
      <c r="B86" s="343"/>
      <c r="C86" s="342"/>
      <c r="D86" s="342"/>
      <c r="E86" s="344"/>
      <c r="F86" s="342"/>
      <c r="G86" s="342"/>
      <c r="H86" s="346"/>
      <c r="I86" s="342"/>
    </row>
    <row r="87" customHeight="1" spans="1:9">
      <c r="A87" s="342"/>
      <c r="B87" s="343"/>
      <c r="C87" s="342"/>
      <c r="D87" s="342"/>
      <c r="E87" s="344"/>
      <c r="F87" s="342"/>
      <c r="G87" s="342"/>
      <c r="H87" s="346"/>
      <c r="I87" s="342"/>
    </row>
    <row r="88" customHeight="1" spans="1:9">
      <c r="A88" s="342"/>
      <c r="B88" s="343"/>
      <c r="C88" s="342"/>
      <c r="D88" s="342"/>
      <c r="E88" s="344"/>
      <c r="F88" s="342"/>
      <c r="G88" s="342"/>
      <c r="H88" s="346"/>
      <c r="I88" s="342"/>
    </row>
    <row r="89" customHeight="1" spans="1:9">
      <c r="A89" s="342"/>
      <c r="B89" s="343"/>
      <c r="C89" s="342"/>
      <c r="D89" s="342"/>
      <c r="E89" s="344"/>
      <c r="F89" s="342"/>
      <c r="G89" s="342"/>
      <c r="H89" s="346"/>
      <c r="I89" s="342"/>
    </row>
    <row r="90" customHeight="1" spans="1:9">
      <c r="A90" s="342"/>
      <c r="B90" s="343"/>
      <c r="C90" s="342"/>
      <c r="D90" s="342"/>
      <c r="E90" s="344"/>
      <c r="F90" s="342"/>
      <c r="G90" s="342"/>
      <c r="H90" s="346"/>
      <c r="I90" s="342"/>
    </row>
    <row r="91" customHeight="1" spans="1:9">
      <c r="A91" s="342"/>
      <c r="B91" s="343"/>
      <c r="C91" s="342"/>
      <c r="D91" s="342"/>
      <c r="E91" s="344"/>
      <c r="F91" s="342"/>
      <c r="G91" s="342"/>
      <c r="H91" s="346"/>
      <c r="I91" s="342"/>
    </row>
    <row r="92" customHeight="1" spans="1:9">
      <c r="A92" s="342"/>
      <c r="B92" s="343"/>
      <c r="C92" s="342"/>
      <c r="D92" s="342"/>
      <c r="E92" s="344"/>
      <c r="F92" s="342"/>
      <c r="G92" s="342"/>
      <c r="H92" s="346"/>
      <c r="I92" s="342"/>
    </row>
    <row r="93" customHeight="1" spans="1:9">
      <c r="A93" s="342"/>
      <c r="B93" s="343"/>
      <c r="C93" s="342"/>
      <c r="D93" s="342"/>
      <c r="E93" s="344"/>
      <c r="F93" s="342"/>
      <c r="G93" s="342"/>
      <c r="H93" s="346"/>
      <c r="I93" s="342"/>
    </row>
    <row r="94" customHeight="1" spans="1:9">
      <c r="A94" s="342"/>
      <c r="B94" s="343"/>
      <c r="C94" s="342"/>
      <c r="D94" s="342"/>
      <c r="E94" s="344"/>
      <c r="F94" s="342"/>
      <c r="G94" s="342"/>
      <c r="H94" s="346"/>
      <c r="I94" s="342"/>
    </row>
    <row r="95" customHeight="1" spans="1:9">
      <c r="A95" s="342"/>
      <c r="B95" s="343"/>
      <c r="C95" s="342"/>
      <c r="D95" s="342"/>
      <c r="E95" s="344"/>
      <c r="F95" s="342"/>
      <c r="G95" s="342"/>
      <c r="H95" s="346"/>
      <c r="I95" s="342"/>
    </row>
    <row r="96" customHeight="1" spans="1:9">
      <c r="A96" s="342"/>
      <c r="B96" s="343"/>
      <c r="C96" s="342"/>
      <c r="D96" s="342"/>
      <c r="E96" s="344"/>
      <c r="F96" s="342"/>
      <c r="G96" s="342"/>
      <c r="H96" s="346"/>
      <c r="I96" s="342"/>
    </row>
    <row r="97" customHeight="1" spans="1:9">
      <c r="A97" s="342"/>
      <c r="B97" s="343"/>
      <c r="C97" s="342"/>
      <c r="D97" s="342"/>
      <c r="E97" s="344"/>
      <c r="F97" s="342"/>
      <c r="G97" s="342"/>
      <c r="H97" s="346"/>
      <c r="I97" s="342"/>
    </row>
    <row r="98" customHeight="1" spans="1:9">
      <c r="A98" s="342"/>
      <c r="B98" s="343"/>
      <c r="C98" s="342"/>
      <c r="D98" s="342"/>
      <c r="E98" s="344"/>
      <c r="F98" s="342"/>
      <c r="G98" s="342"/>
      <c r="H98" s="346"/>
      <c r="I98" s="342"/>
    </row>
    <row r="99" customHeight="1" spans="1:9">
      <c r="A99" s="342"/>
      <c r="B99" s="343"/>
      <c r="C99" s="342"/>
      <c r="D99" s="342"/>
      <c r="E99" s="344"/>
      <c r="F99" s="342"/>
      <c r="G99" s="342"/>
      <c r="H99" s="346"/>
      <c r="I99" s="342"/>
    </row>
    <row r="100" customHeight="1" spans="1:9">
      <c r="A100" s="342"/>
      <c r="B100" s="343"/>
      <c r="C100" s="342"/>
      <c r="D100" s="342"/>
      <c r="E100" s="344"/>
      <c r="F100" s="342"/>
      <c r="G100" s="342"/>
      <c r="H100" s="346"/>
      <c r="I100" s="342"/>
    </row>
    <row r="101" customHeight="1" spans="1:9">
      <c r="A101" s="342"/>
      <c r="B101" s="343"/>
      <c r="C101" s="342"/>
      <c r="D101" s="342"/>
      <c r="E101" s="344"/>
      <c r="F101" s="342"/>
      <c r="G101" s="342"/>
      <c r="H101" s="346"/>
      <c r="I101" s="342"/>
    </row>
    <row r="102" customHeight="1" spans="1:9">
      <c r="A102" s="342"/>
      <c r="B102" s="343"/>
      <c r="C102" s="342"/>
      <c r="D102" s="342"/>
      <c r="E102" s="344"/>
      <c r="F102" s="342"/>
      <c r="G102" s="342"/>
      <c r="H102" s="346"/>
      <c r="I102" s="342"/>
    </row>
    <row r="103" customHeight="1" spans="1:9">
      <c r="A103" s="342"/>
      <c r="B103" s="343"/>
      <c r="C103" s="342"/>
      <c r="D103" s="342"/>
      <c r="E103" s="344"/>
      <c r="F103" s="342"/>
      <c r="G103" s="342"/>
      <c r="H103" s="346"/>
      <c r="I103" s="342"/>
    </row>
    <row r="104" customHeight="1" spans="1:9">
      <c r="A104" s="342"/>
      <c r="B104" s="343"/>
      <c r="C104" s="342"/>
      <c r="D104" s="342"/>
      <c r="E104" s="344"/>
      <c r="F104" s="342"/>
      <c r="G104" s="342"/>
      <c r="H104" s="346"/>
      <c r="I104" s="342"/>
    </row>
    <row r="105" customHeight="1" spans="1:9">
      <c r="A105" s="342"/>
      <c r="B105" s="343"/>
      <c r="C105" s="342"/>
      <c r="D105" s="342"/>
      <c r="E105" s="344"/>
      <c r="F105" s="342"/>
      <c r="G105" s="342"/>
      <c r="H105" s="346"/>
      <c r="I105" s="342"/>
    </row>
    <row r="106" customHeight="1" spans="1:9">
      <c r="A106" s="342"/>
      <c r="B106" s="343"/>
      <c r="C106" s="342"/>
      <c r="D106" s="342"/>
      <c r="E106" s="344"/>
      <c r="F106" s="342"/>
      <c r="G106" s="342"/>
      <c r="H106" s="346"/>
      <c r="I106" s="342"/>
    </row>
    <row r="107" customHeight="1" spans="1:9">
      <c r="A107" s="342"/>
      <c r="B107" s="343"/>
      <c r="C107" s="342"/>
      <c r="D107" s="342"/>
      <c r="E107" s="344"/>
      <c r="F107" s="342"/>
      <c r="G107" s="342"/>
      <c r="H107" s="346"/>
      <c r="I107" s="342"/>
    </row>
    <row r="108" customHeight="1" spans="1:9">
      <c r="A108" s="342"/>
      <c r="B108" s="343"/>
      <c r="C108" s="342"/>
      <c r="D108" s="342"/>
      <c r="E108" s="344"/>
      <c r="F108" s="342"/>
      <c r="G108" s="342"/>
      <c r="H108" s="346"/>
      <c r="I108" s="342"/>
    </row>
    <row r="109" customHeight="1" spans="1:9">
      <c r="A109" s="342"/>
      <c r="B109" s="343"/>
      <c r="C109" s="342"/>
      <c r="D109" s="342"/>
      <c r="E109" s="344"/>
      <c r="F109" s="342"/>
      <c r="G109" s="342"/>
      <c r="H109" s="346"/>
      <c r="I109" s="342"/>
    </row>
    <row r="110" customHeight="1" spans="1:9">
      <c r="A110" s="342"/>
      <c r="B110" s="343"/>
      <c r="C110" s="342"/>
      <c r="D110" s="342"/>
      <c r="E110" s="344"/>
      <c r="F110" s="342"/>
      <c r="G110" s="342"/>
      <c r="H110" s="346"/>
      <c r="I110" s="342"/>
    </row>
    <row r="111" customHeight="1" spans="1:9">
      <c r="A111" s="342"/>
      <c r="B111" s="343"/>
      <c r="C111" s="342"/>
      <c r="D111" s="342"/>
      <c r="E111" s="344"/>
      <c r="F111" s="342"/>
      <c r="G111" s="342"/>
      <c r="H111" s="346"/>
      <c r="I111" s="342"/>
    </row>
    <row r="112" customHeight="1" spans="1:9">
      <c r="A112" s="342"/>
      <c r="B112" s="343"/>
      <c r="C112" s="342"/>
      <c r="D112" s="342"/>
      <c r="E112" s="344"/>
      <c r="F112" s="342"/>
      <c r="G112" s="342"/>
      <c r="H112" s="346"/>
      <c r="I112" s="342"/>
    </row>
    <row r="113" customHeight="1" spans="1:9">
      <c r="A113" s="342"/>
      <c r="B113" s="343"/>
      <c r="C113" s="342"/>
      <c r="D113" s="342"/>
      <c r="E113" s="344"/>
      <c r="F113" s="342"/>
      <c r="G113" s="342"/>
      <c r="H113" s="346"/>
      <c r="I113" s="342"/>
    </row>
    <row r="114" customHeight="1" spans="1:9">
      <c r="A114" s="342"/>
      <c r="B114" s="343"/>
      <c r="C114" s="342"/>
      <c r="D114" s="342"/>
      <c r="E114" s="344"/>
      <c r="F114" s="342"/>
      <c r="G114" s="342"/>
      <c r="H114" s="346"/>
      <c r="I114" s="342"/>
    </row>
    <row r="115" customHeight="1" spans="1:9">
      <c r="A115" s="342"/>
      <c r="B115" s="343"/>
      <c r="C115" s="342"/>
      <c r="D115" s="342"/>
      <c r="E115" s="344"/>
      <c r="F115" s="342"/>
      <c r="G115" s="342"/>
      <c r="H115" s="346"/>
      <c r="I115" s="342"/>
    </row>
    <row r="116" customHeight="1" spans="1:9">
      <c r="A116" s="342"/>
      <c r="B116" s="343"/>
      <c r="C116" s="342"/>
      <c r="D116" s="342"/>
      <c r="E116" s="344"/>
      <c r="F116" s="342"/>
      <c r="G116" s="342"/>
      <c r="H116" s="346"/>
      <c r="I116" s="342"/>
    </row>
    <row r="117" customHeight="1" spans="1:9">
      <c r="A117" s="342"/>
      <c r="B117" s="343"/>
      <c r="C117" s="342"/>
      <c r="D117" s="342"/>
      <c r="E117" s="344"/>
      <c r="F117" s="342"/>
      <c r="G117" s="342"/>
      <c r="H117" s="346"/>
      <c r="I117" s="342"/>
    </row>
    <row r="118" customHeight="1" spans="1:9">
      <c r="A118" s="342"/>
      <c r="B118" s="343"/>
      <c r="C118" s="342"/>
      <c r="D118" s="342"/>
      <c r="E118" s="344"/>
      <c r="F118" s="342"/>
      <c r="G118" s="342"/>
      <c r="H118" s="346"/>
      <c r="I118" s="342"/>
    </row>
    <row r="119" customHeight="1" spans="1:9">
      <c r="A119" s="342"/>
      <c r="B119" s="343"/>
      <c r="C119" s="342"/>
      <c r="D119" s="342"/>
      <c r="E119" s="344"/>
      <c r="F119" s="342"/>
      <c r="G119" s="342"/>
      <c r="H119" s="346"/>
      <c r="I119" s="342"/>
    </row>
    <row r="120" customHeight="1" spans="1:9">
      <c r="A120" s="342"/>
      <c r="B120" s="343"/>
      <c r="C120" s="342"/>
      <c r="D120" s="342"/>
      <c r="E120" s="344"/>
      <c r="F120" s="342"/>
      <c r="G120" s="342"/>
      <c r="H120" s="346"/>
      <c r="I120" s="342"/>
    </row>
    <row r="121" customHeight="1" spans="1:9">
      <c r="A121" s="342"/>
      <c r="B121" s="343"/>
      <c r="C121" s="342"/>
      <c r="D121" s="342"/>
      <c r="E121" s="344"/>
      <c r="F121" s="342"/>
      <c r="G121" s="342"/>
      <c r="H121" s="346"/>
      <c r="I121" s="342"/>
    </row>
    <row r="122" customHeight="1" spans="1:9">
      <c r="A122" s="342"/>
      <c r="B122" s="343"/>
      <c r="C122" s="342"/>
      <c r="D122" s="342"/>
      <c r="E122" s="344"/>
      <c r="F122" s="342"/>
      <c r="G122" s="342"/>
      <c r="H122" s="346"/>
      <c r="I122" s="342"/>
    </row>
    <row r="123" customHeight="1" spans="1:9">
      <c r="A123" s="342"/>
      <c r="B123" s="343"/>
      <c r="C123" s="342"/>
      <c r="D123" s="342"/>
      <c r="E123" s="344"/>
      <c r="F123" s="342"/>
      <c r="G123" s="342"/>
      <c r="H123" s="346"/>
      <c r="I123" s="342"/>
    </row>
    <row r="124" customHeight="1" spans="1:9">
      <c r="A124" s="342"/>
      <c r="B124" s="343"/>
      <c r="C124" s="342"/>
      <c r="D124" s="342"/>
      <c r="E124" s="344"/>
      <c r="F124" s="342"/>
      <c r="G124" s="342"/>
      <c r="H124" s="346"/>
      <c r="I124" s="342"/>
    </row>
    <row r="125" customHeight="1" spans="1:9">
      <c r="A125" s="342"/>
      <c r="B125" s="343"/>
      <c r="C125" s="342"/>
      <c r="D125" s="342"/>
      <c r="E125" s="344"/>
      <c r="F125" s="342"/>
      <c r="G125" s="342"/>
      <c r="H125" s="346"/>
      <c r="I125" s="342"/>
    </row>
    <row r="126" customHeight="1" spans="1:9">
      <c r="A126" s="342"/>
      <c r="B126" s="343"/>
      <c r="C126" s="342"/>
      <c r="D126" s="342"/>
      <c r="E126" s="344"/>
      <c r="F126" s="342"/>
      <c r="G126" s="342"/>
      <c r="H126" s="346"/>
      <c r="I126" s="342"/>
    </row>
    <row r="127" customHeight="1" spans="1:9">
      <c r="A127" s="342"/>
      <c r="B127" s="343"/>
      <c r="C127" s="342"/>
      <c r="D127" s="342"/>
      <c r="E127" s="344"/>
      <c r="F127" s="342"/>
      <c r="G127" s="342"/>
      <c r="H127" s="346"/>
      <c r="I127" s="342"/>
    </row>
    <row r="128" customHeight="1" spans="1:9">
      <c r="A128" s="342"/>
      <c r="B128" s="343"/>
      <c r="C128" s="342"/>
      <c r="D128" s="342"/>
      <c r="E128" s="344"/>
      <c r="F128" s="342"/>
      <c r="G128" s="342"/>
      <c r="H128" s="346"/>
      <c r="I128" s="342"/>
    </row>
    <row r="129" customHeight="1" spans="1:9">
      <c r="A129" s="342"/>
      <c r="B129" s="343"/>
      <c r="C129" s="342"/>
      <c r="D129" s="342"/>
      <c r="E129" s="344"/>
      <c r="F129" s="342"/>
      <c r="G129" s="342"/>
      <c r="H129" s="346"/>
      <c r="I129" s="342"/>
    </row>
    <row r="130" customHeight="1" spans="1:9">
      <c r="A130" s="342"/>
      <c r="B130" s="343"/>
      <c r="C130" s="342"/>
      <c r="D130" s="342"/>
      <c r="E130" s="344"/>
      <c r="F130" s="342"/>
      <c r="G130" s="342"/>
      <c r="H130" s="346"/>
      <c r="I130" s="342"/>
    </row>
    <row r="131" customHeight="1" spans="1:9">
      <c r="A131" s="342"/>
      <c r="B131" s="343"/>
      <c r="C131" s="342"/>
      <c r="D131" s="342"/>
      <c r="E131" s="344"/>
      <c r="F131" s="342"/>
      <c r="G131" s="342"/>
      <c r="H131" s="346"/>
      <c r="I131" s="342"/>
    </row>
    <row r="132" customHeight="1" spans="1:9">
      <c r="A132" s="342"/>
      <c r="B132" s="343"/>
      <c r="C132" s="342"/>
      <c r="D132" s="342"/>
      <c r="E132" s="344"/>
      <c r="F132" s="342"/>
      <c r="G132" s="342"/>
      <c r="H132" s="346"/>
      <c r="I132" s="342"/>
    </row>
    <row r="133" customHeight="1" spans="1:9">
      <c r="A133" s="342"/>
      <c r="B133" s="343"/>
      <c r="C133" s="342"/>
      <c r="D133" s="342"/>
      <c r="E133" s="344"/>
      <c r="F133" s="342"/>
      <c r="G133" s="342"/>
      <c r="H133" s="346"/>
      <c r="I133" s="342"/>
    </row>
    <row r="134" customHeight="1" spans="1:9">
      <c r="A134" s="342"/>
      <c r="B134" s="343"/>
      <c r="C134" s="342"/>
      <c r="D134" s="342"/>
      <c r="E134" s="344"/>
      <c r="F134" s="342"/>
      <c r="G134" s="342"/>
      <c r="H134" s="346"/>
      <c r="I134" s="342"/>
    </row>
    <row r="135" customHeight="1" spans="1:9">
      <c r="A135" s="342"/>
      <c r="B135" s="343"/>
      <c r="C135" s="342"/>
      <c r="D135" s="342"/>
      <c r="E135" s="344"/>
      <c r="F135" s="342"/>
      <c r="G135" s="342"/>
      <c r="H135" s="346"/>
      <c r="I135" s="342"/>
    </row>
    <row r="136" customHeight="1" spans="1:9">
      <c r="A136" s="342"/>
      <c r="B136" s="343"/>
      <c r="C136" s="342"/>
      <c r="D136" s="342"/>
      <c r="E136" s="344"/>
      <c r="F136" s="342"/>
      <c r="G136" s="342"/>
      <c r="H136" s="346"/>
      <c r="I136" s="342"/>
    </row>
    <row r="137" customHeight="1" spans="1:9">
      <c r="A137" s="342"/>
      <c r="B137" s="343"/>
      <c r="C137" s="342"/>
      <c r="D137" s="342"/>
      <c r="E137" s="344"/>
      <c r="F137" s="342"/>
      <c r="G137" s="342"/>
      <c r="H137" s="346"/>
      <c r="I137" s="342"/>
    </row>
    <row r="138" customHeight="1" spans="1:9">
      <c r="A138" s="342"/>
      <c r="B138" s="343"/>
      <c r="C138" s="342"/>
      <c r="D138" s="342"/>
      <c r="E138" s="344"/>
      <c r="F138" s="342"/>
      <c r="G138" s="342"/>
      <c r="H138" s="346"/>
      <c r="I138" s="342"/>
    </row>
    <row r="139" customHeight="1" spans="1:9">
      <c r="A139" s="342"/>
      <c r="B139" s="343"/>
      <c r="C139" s="342"/>
      <c r="D139" s="342"/>
      <c r="E139" s="344"/>
      <c r="F139" s="342"/>
      <c r="G139" s="342"/>
      <c r="H139" s="346"/>
      <c r="I139" s="342"/>
    </row>
    <row r="140" customHeight="1" spans="1:9">
      <c r="A140" s="342"/>
      <c r="B140" s="343"/>
      <c r="C140" s="342"/>
      <c r="D140" s="342"/>
      <c r="E140" s="344"/>
      <c r="F140" s="342"/>
      <c r="G140" s="342"/>
      <c r="H140" s="346"/>
      <c r="I140" s="342"/>
    </row>
    <row r="141" customHeight="1" spans="1:9">
      <c r="A141" s="342"/>
      <c r="B141" s="343"/>
      <c r="C141" s="342"/>
      <c r="D141" s="342"/>
      <c r="E141" s="344"/>
      <c r="F141" s="342"/>
      <c r="G141" s="342"/>
      <c r="H141" s="346"/>
      <c r="I141" s="342"/>
    </row>
    <row r="142" customHeight="1" spans="1:9">
      <c r="A142" s="342"/>
      <c r="B142" s="343"/>
      <c r="C142" s="342"/>
      <c r="D142" s="342"/>
      <c r="E142" s="344"/>
      <c r="F142" s="342"/>
      <c r="G142" s="342"/>
      <c r="H142" s="346"/>
      <c r="I142" s="342"/>
    </row>
    <row r="143" customHeight="1" spans="1:9">
      <c r="A143" s="342"/>
      <c r="B143" s="343"/>
      <c r="C143" s="342"/>
      <c r="D143" s="342"/>
      <c r="E143" s="344"/>
      <c r="F143" s="342"/>
      <c r="G143" s="342"/>
      <c r="H143" s="346"/>
      <c r="I143" s="342"/>
    </row>
    <row r="144" customHeight="1" spans="1:9">
      <c r="A144" s="342"/>
      <c r="B144" s="343"/>
      <c r="C144" s="342"/>
      <c r="D144" s="342"/>
      <c r="E144" s="344"/>
      <c r="F144" s="342"/>
      <c r="G144" s="342"/>
      <c r="H144" s="346"/>
      <c r="I144" s="342"/>
    </row>
    <row r="145" customHeight="1" spans="1:9">
      <c r="A145" s="342"/>
      <c r="B145" s="343"/>
      <c r="C145" s="342"/>
      <c r="D145" s="342"/>
      <c r="E145" s="344"/>
      <c r="F145" s="342"/>
      <c r="G145" s="342"/>
      <c r="H145" s="346"/>
      <c r="I145" s="342"/>
    </row>
    <row r="146" customHeight="1" spans="1:9">
      <c r="A146" s="342"/>
      <c r="B146" s="343"/>
      <c r="C146" s="342"/>
      <c r="D146" s="342"/>
      <c r="E146" s="344"/>
      <c r="F146" s="342"/>
      <c r="G146" s="342"/>
      <c r="H146" s="346"/>
      <c r="I146" s="342"/>
    </row>
    <row r="147" customHeight="1" spans="1:9">
      <c r="A147" s="342"/>
      <c r="B147" s="343"/>
      <c r="C147" s="342"/>
      <c r="D147" s="342"/>
      <c r="E147" s="344"/>
      <c r="F147" s="342"/>
      <c r="G147" s="342"/>
      <c r="H147" s="346"/>
      <c r="I147" s="342"/>
    </row>
    <row r="148" customHeight="1" spans="1:9">
      <c r="A148" s="342"/>
      <c r="B148" s="343"/>
      <c r="C148" s="342"/>
      <c r="D148" s="342"/>
      <c r="E148" s="344"/>
      <c r="F148" s="342"/>
      <c r="G148" s="342"/>
      <c r="H148" s="346"/>
      <c r="I148" s="342"/>
    </row>
    <row r="149" customHeight="1" spans="1:9">
      <c r="A149" s="342"/>
      <c r="B149" s="343"/>
      <c r="C149" s="342"/>
      <c r="D149" s="342"/>
      <c r="E149" s="344"/>
      <c r="F149" s="342"/>
      <c r="G149" s="342"/>
      <c r="H149" s="346"/>
      <c r="I149" s="342"/>
    </row>
    <row r="150" customHeight="1" spans="1:9">
      <c r="A150" s="342"/>
      <c r="B150" s="343"/>
      <c r="C150" s="342"/>
      <c r="D150" s="342"/>
      <c r="E150" s="344"/>
      <c r="F150" s="342"/>
      <c r="G150" s="342"/>
      <c r="H150" s="346"/>
      <c r="I150" s="342"/>
    </row>
    <row r="151" customHeight="1" spans="1:9">
      <c r="A151" s="342"/>
      <c r="B151" s="343"/>
      <c r="C151" s="342"/>
      <c r="D151" s="342"/>
      <c r="E151" s="344"/>
      <c r="F151" s="342"/>
      <c r="G151" s="342"/>
      <c r="H151" s="346"/>
      <c r="I151" s="342"/>
    </row>
    <row r="152" customHeight="1" spans="1:9">
      <c r="A152" s="342"/>
      <c r="B152" s="343"/>
      <c r="C152" s="342"/>
      <c r="D152" s="342"/>
      <c r="E152" s="344"/>
      <c r="F152" s="342"/>
      <c r="G152" s="342"/>
      <c r="H152" s="346"/>
      <c r="I152" s="342"/>
    </row>
    <row r="153" customHeight="1" spans="1:9">
      <c r="A153" s="342"/>
      <c r="B153" s="343"/>
      <c r="C153" s="342"/>
      <c r="D153" s="342"/>
      <c r="E153" s="344"/>
      <c r="F153" s="342"/>
      <c r="G153" s="342"/>
      <c r="H153" s="346"/>
      <c r="I153" s="342"/>
    </row>
    <row r="154" customHeight="1" spans="1:9">
      <c r="A154" s="342"/>
      <c r="B154" s="343"/>
      <c r="C154" s="342"/>
      <c r="D154" s="342"/>
      <c r="E154" s="344"/>
      <c r="F154" s="342"/>
      <c r="G154" s="342"/>
      <c r="H154" s="346"/>
      <c r="I154" s="342"/>
    </row>
    <row r="155" customHeight="1" spans="1:9">
      <c r="A155" s="342"/>
      <c r="B155" s="343"/>
      <c r="C155" s="342"/>
      <c r="D155" s="342"/>
      <c r="E155" s="344"/>
      <c r="F155" s="342"/>
      <c r="G155" s="342"/>
      <c r="H155" s="346"/>
      <c r="I155" s="342"/>
    </row>
    <row r="156" customHeight="1" spans="1:9">
      <c r="A156" s="342"/>
      <c r="B156" s="343"/>
      <c r="C156" s="342"/>
      <c r="D156" s="342"/>
      <c r="E156" s="344"/>
      <c r="F156" s="342"/>
      <c r="G156" s="342"/>
      <c r="H156" s="346"/>
      <c r="I156" s="342"/>
    </row>
    <row r="157" customHeight="1" spans="1:9">
      <c r="A157" s="342"/>
      <c r="B157" s="343"/>
      <c r="C157" s="342"/>
      <c r="D157" s="342"/>
      <c r="E157" s="344"/>
      <c r="F157" s="342"/>
      <c r="G157" s="342"/>
      <c r="H157" s="346"/>
      <c r="I157" s="342"/>
    </row>
    <row r="158" customHeight="1" spans="1:9">
      <c r="A158" s="342"/>
      <c r="B158" s="343"/>
      <c r="C158" s="342"/>
      <c r="D158" s="342"/>
      <c r="E158" s="344"/>
      <c r="F158" s="342"/>
      <c r="G158" s="342"/>
      <c r="H158" s="346"/>
      <c r="I158" s="342"/>
    </row>
    <row r="159" customHeight="1" spans="1:9">
      <c r="A159" s="342"/>
      <c r="B159" s="343"/>
      <c r="C159" s="342"/>
      <c r="D159" s="342"/>
      <c r="E159" s="344"/>
      <c r="F159" s="342"/>
      <c r="G159" s="342"/>
      <c r="H159" s="346"/>
      <c r="I159" s="342"/>
    </row>
    <row r="160" customHeight="1" spans="1:9">
      <c r="A160" s="342"/>
      <c r="B160" s="343"/>
      <c r="C160" s="342"/>
      <c r="D160" s="342"/>
      <c r="E160" s="344"/>
      <c r="F160" s="342"/>
      <c r="G160" s="342"/>
      <c r="H160" s="346"/>
      <c r="I160" s="342"/>
    </row>
    <row r="161" customHeight="1" spans="1:9">
      <c r="A161" s="342"/>
      <c r="B161" s="343"/>
      <c r="C161" s="342"/>
      <c r="D161" s="342"/>
      <c r="E161" s="344"/>
      <c r="F161" s="342"/>
      <c r="G161" s="342"/>
      <c r="H161" s="346"/>
      <c r="I161" s="342"/>
    </row>
    <row r="162" customHeight="1" spans="1:9">
      <c r="A162" s="342"/>
      <c r="B162" s="343"/>
      <c r="C162" s="342"/>
      <c r="D162" s="342"/>
      <c r="E162" s="344"/>
      <c r="F162" s="342"/>
      <c r="G162" s="342"/>
      <c r="H162" s="346"/>
      <c r="I162" s="342"/>
    </row>
    <row r="163" customHeight="1" spans="1:9">
      <c r="A163" s="342"/>
      <c r="B163" s="343"/>
      <c r="C163" s="342"/>
      <c r="D163" s="342"/>
      <c r="E163" s="344"/>
      <c r="F163" s="342"/>
      <c r="G163" s="342"/>
      <c r="H163" s="346"/>
      <c r="I163" s="342"/>
    </row>
    <row r="164" customHeight="1" spans="1:9">
      <c r="A164" s="342"/>
      <c r="B164" s="343"/>
      <c r="C164" s="342"/>
      <c r="D164" s="342"/>
      <c r="E164" s="344"/>
      <c r="F164" s="342"/>
      <c r="G164" s="342"/>
      <c r="H164" s="346"/>
      <c r="I164" s="342"/>
    </row>
    <row r="165" customHeight="1" spans="1:9">
      <c r="A165" s="342"/>
      <c r="B165" s="343"/>
      <c r="C165" s="342"/>
      <c r="D165" s="342"/>
      <c r="E165" s="344"/>
      <c r="F165" s="342"/>
      <c r="G165" s="342"/>
      <c r="H165" s="346"/>
      <c r="I165" s="342"/>
    </row>
    <row r="166" customHeight="1" spans="1:9">
      <c r="A166" s="342"/>
      <c r="B166" s="343"/>
      <c r="C166" s="342"/>
      <c r="D166" s="342"/>
      <c r="E166" s="344"/>
      <c r="F166" s="342"/>
      <c r="G166" s="342"/>
      <c r="H166" s="346"/>
      <c r="I166" s="342"/>
    </row>
    <row r="167" customHeight="1" spans="1:9">
      <c r="A167" s="342"/>
      <c r="B167" s="343"/>
      <c r="C167" s="342"/>
      <c r="D167" s="342"/>
      <c r="E167" s="344"/>
      <c r="F167" s="342"/>
      <c r="G167" s="342"/>
      <c r="H167" s="346"/>
      <c r="I167" s="342"/>
    </row>
    <row r="168" customHeight="1" spans="1:9">
      <c r="A168" s="342"/>
      <c r="B168" s="343"/>
      <c r="C168" s="342"/>
      <c r="D168" s="342"/>
      <c r="E168" s="344"/>
      <c r="F168" s="342"/>
      <c r="G168" s="342"/>
      <c r="H168" s="346"/>
      <c r="I168" s="342"/>
    </row>
    <row r="169" customHeight="1" spans="1:9">
      <c r="A169" s="342"/>
      <c r="B169" s="343"/>
      <c r="C169" s="342"/>
      <c r="D169" s="342"/>
      <c r="E169" s="344"/>
      <c r="F169" s="342"/>
      <c r="G169" s="342"/>
      <c r="H169" s="346"/>
      <c r="I169" s="342"/>
    </row>
    <row r="170" customHeight="1" spans="1:9">
      <c r="A170" s="342"/>
      <c r="B170" s="343"/>
      <c r="C170" s="342"/>
      <c r="D170" s="342"/>
      <c r="E170" s="344"/>
      <c r="F170" s="342"/>
      <c r="G170" s="342"/>
      <c r="H170" s="346"/>
      <c r="I170" s="342"/>
    </row>
    <row r="171" customHeight="1" spans="1:9">
      <c r="A171" s="342"/>
      <c r="B171" s="343"/>
      <c r="C171" s="342"/>
      <c r="D171" s="342"/>
      <c r="E171" s="344"/>
      <c r="F171" s="342"/>
      <c r="G171" s="342"/>
      <c r="H171" s="346"/>
      <c r="I171" s="342"/>
    </row>
    <row r="172" customHeight="1" spans="1:9">
      <c r="A172" s="342"/>
      <c r="B172" s="343"/>
      <c r="C172" s="342"/>
      <c r="D172" s="342"/>
      <c r="E172" s="344"/>
      <c r="F172" s="342"/>
      <c r="G172" s="342"/>
      <c r="H172" s="346"/>
      <c r="I172" s="342"/>
    </row>
  </sheetData>
  <mergeCells count="25">
    <mergeCell ref="A1:L1"/>
    <mergeCell ref="C3:E3"/>
    <mergeCell ref="F3:H3"/>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A3:A4"/>
    <mergeCell ref="B3:B4"/>
    <mergeCell ref="I3:I4"/>
    <mergeCell ref="K3:L4"/>
  </mergeCells>
  <dataValidations count="2">
    <dataValidation type="list" allowBlank="1" showInputMessage="1" showErrorMessage="1" sqref="K5:L5">
      <formula1>"1,2,3,4,5,6,7,8,9,10,11,12"</formula1>
    </dataValidation>
    <dataValidation type="list" allowBlank="1" showInputMessage="1" showErrorMessage="1" sqref="K3:L4">
      <formula1>"2018,2019,2020,2021,2022,2023,2024,2025,2026,2027,2028,2029,2030,2031,2032,2033,2034,2035"</formula1>
    </dataValidation>
  </dataValidations>
  <pageMargins left="0.472222222222222" right="0.472222222222222" top="0.472222222222222" bottom="0.432638888888889" header="0.472222222222222" footer="0.472222222222222"/>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49977111117893"/>
    <pageSetUpPr fitToPage="1"/>
  </sheetPr>
  <dimension ref="B1:S67"/>
  <sheetViews>
    <sheetView showGridLines="0" workbookViewId="0">
      <pane ySplit="4" topLeftCell="A5" activePane="bottomLeft" state="frozen"/>
      <selection/>
      <selection pane="bottomLeft" activeCell="B38" sqref="B38"/>
    </sheetView>
  </sheetViews>
  <sheetFormatPr defaultColWidth="9" defaultRowHeight="17.25" customHeight="1"/>
  <cols>
    <col min="1" max="1" width="2.16666666666667" style="275" customWidth="1"/>
    <col min="2" max="2" width="24.6666666666667" style="275" customWidth="1"/>
    <col min="3" max="3" width="2.83333333333333" style="275" customWidth="1"/>
    <col min="4" max="16" width="10.1666666666667" style="275" customWidth="1"/>
    <col min="17" max="17" width="2.83333333333333" style="275" customWidth="1"/>
    <col min="18" max="16384" width="9" style="275" customWidth="1"/>
  </cols>
  <sheetData>
    <row r="1" ht="42" customHeight="1" spans="2:19">
      <c r="B1" s="276" t="s">
        <v>33</v>
      </c>
      <c r="C1" s="277"/>
      <c r="D1" s="277"/>
      <c r="E1" s="278"/>
      <c r="F1" s="277"/>
      <c r="G1" s="277"/>
      <c r="H1" s="277"/>
      <c r="I1" s="277"/>
      <c r="J1" s="277"/>
      <c r="K1" s="277"/>
      <c r="L1" s="277"/>
      <c r="M1" s="277"/>
      <c r="N1" s="277"/>
      <c r="O1" s="277"/>
      <c r="P1" s="277"/>
      <c r="Q1" s="277"/>
      <c r="R1" s="277"/>
      <c r="S1" s="277"/>
    </row>
    <row r="2" ht="22.5" customHeight="1" spans="2:19">
      <c r="Q2" s="279"/>
    </row>
    <row r="3" ht="25.5" customHeight="1" spans="2:19">
      <c r="B3" s="280" t="s">
        <v>34</v>
      </c>
      <c r="D3" s="281" t="s">
        <v>35</v>
      </c>
      <c r="E3" s="282" t="str">
        <f>UPPER(TEXT(FiscalYearStartDate,"M 月"))</f>
        <v>1 月</v>
      </c>
      <c r="F3" s="282" t="str">
        <f>UPPER(TEXT(EOMONTH(FiscalYearStartDate,1),"M 月"))</f>
        <v>2 月</v>
      </c>
      <c r="G3" s="282" t="str">
        <f>UPPER(TEXT(EOMONTH(FiscalYearStartDate,2),"M 月"))</f>
        <v>3 月</v>
      </c>
      <c r="H3" s="282" t="str">
        <f>UPPER(TEXT(EOMONTH(FiscalYearStartDate,3),"M 月"))</f>
        <v>4 月</v>
      </c>
      <c r="I3" s="282" t="str">
        <f>UPPER(TEXT(EOMONTH(FiscalYearStartDate,4),"M 月"))</f>
        <v>5 月</v>
      </c>
      <c r="J3" s="282" t="str">
        <f>UPPER(TEXT(EOMONTH(FiscalYearStartDate,5),"M 月"))</f>
        <v>6 月</v>
      </c>
      <c r="K3" s="282" t="str">
        <f>UPPER(TEXT(EOMONTH(FiscalYearStartDate,6),"M 月"))</f>
        <v>7 月</v>
      </c>
      <c r="L3" s="282" t="str">
        <f>UPPER(TEXT(EOMONTH(FiscalYearStartDate,7),"M 月"))</f>
        <v>8 月</v>
      </c>
      <c r="M3" s="282" t="str">
        <f>UPPER(TEXT(EOMONTH(FiscalYearStartDate,8),"M 月"))</f>
        <v>9 月</v>
      </c>
      <c r="N3" s="282" t="str">
        <f>UPPER(TEXT(EOMONTH(FiscalYearStartDate,9),"M 月"))</f>
        <v>10 月</v>
      </c>
      <c r="O3" s="282" t="str">
        <f>UPPER(TEXT(EOMONTH(FiscalYearStartDate,10),"M 月"))</f>
        <v>11 月</v>
      </c>
      <c r="P3" s="282" t="str">
        <f>UPPER(TEXT(EOMONTH(FiscalYearStartDate,11),"M 月"))</f>
        <v>12 月</v>
      </c>
      <c r="Q3" s="283"/>
      <c r="R3" s="284" t="s">
        <v>36</v>
      </c>
    </row>
    <row r="4" ht="14.25" customHeight="1" spans="2:19">
      <c r="B4" s="285">
        <v>45658</v>
      </c>
      <c r="D4" s="286" t="s">
        <v>37</v>
      </c>
      <c r="E4" s="287">
        <f>FiscalYearStartDate</f>
        <v>45658</v>
      </c>
      <c r="F4" s="287">
        <f>EOMONTH(E4,0)+DAY(FiscalYearStartDate)</f>
        <v>45689</v>
      </c>
      <c r="G4" s="287">
        <f>EOMONTH(F4,0)+DAY(FiscalYearStartDate)</f>
        <v>45717</v>
      </c>
      <c r="H4" s="287">
        <f>EOMONTH(G4,0)+DAY(FiscalYearStartDate)</f>
        <v>45748</v>
      </c>
      <c r="I4" s="287">
        <f>EOMONTH(H4,0)+DAY(FiscalYearStartDate)</f>
        <v>45778</v>
      </c>
      <c r="J4" s="287">
        <f>EOMONTH(I4,0)+DAY(FiscalYearStartDate)</f>
        <v>45809</v>
      </c>
      <c r="K4" s="287">
        <f>EOMONTH(J4,0)+DAY(FiscalYearStartDate)</f>
        <v>45839</v>
      </c>
      <c r="L4" s="287">
        <f>EOMONTH(K4,0)+DAY(FiscalYearStartDate)</f>
        <v>45870</v>
      </c>
      <c r="M4" s="287">
        <f>EOMONTH(L4,0)+DAY(FiscalYearStartDate)</f>
        <v>45901</v>
      </c>
      <c r="N4" s="287">
        <f>EOMONTH(M4,0)+DAY(FiscalYearStartDate)</f>
        <v>45931</v>
      </c>
      <c r="O4" s="287">
        <f>EOMONTH(N4,0)+DAY(FiscalYearStartDate)</f>
        <v>45962</v>
      </c>
      <c r="P4" s="287">
        <f>EOMONTH(O4,0)+DAY(FiscalYearStartDate)</f>
        <v>45992</v>
      </c>
      <c r="Q4" s="288"/>
      <c r="R4" s="281" t="s">
        <v>38</v>
      </c>
    </row>
    <row r="5" customHeight="1" spans="2:19">
      <c r="B5" s="285"/>
      <c r="D5" s="289"/>
      <c r="E5" s="290"/>
      <c r="F5" s="290"/>
      <c r="G5" s="290"/>
      <c r="H5" s="290"/>
      <c r="I5" s="290"/>
      <c r="J5" s="290"/>
      <c r="K5" s="290"/>
      <c r="L5" s="290"/>
      <c r="M5" s="290"/>
      <c r="N5" s="290"/>
      <c r="O5" s="290"/>
      <c r="P5" s="290"/>
      <c r="Q5" s="291"/>
      <c r="R5" s="292"/>
    </row>
    <row r="6" customHeight="1" spans="2:19">
      <c r="B6" s="293" t="s">
        <v>39</v>
      </c>
      <c r="D6" s="294">
        <v>0</v>
      </c>
      <c r="E6" s="294">
        <f t="shared" ref="E6:P6" si="0">D67</f>
        <v>0</v>
      </c>
      <c r="F6" s="294">
        <f t="shared" si="0"/>
        <v>0</v>
      </c>
      <c r="G6" s="294">
        <f t="shared" si="0"/>
        <v>0</v>
      </c>
      <c r="H6" s="294">
        <f t="shared" si="0"/>
        <v>0</v>
      </c>
      <c r="I6" s="294">
        <f t="shared" si="0"/>
        <v>30000</v>
      </c>
      <c r="J6" s="294">
        <f t="shared" si="0"/>
        <v>30000</v>
      </c>
      <c r="K6" s="294">
        <f t="shared" si="0"/>
        <v>30000</v>
      </c>
      <c r="L6" s="294">
        <f t="shared" si="0"/>
        <v>30000</v>
      </c>
      <c r="M6" s="294">
        <f t="shared" si="0"/>
        <v>30000</v>
      </c>
      <c r="N6" s="294">
        <f t="shared" si="0"/>
        <v>30000</v>
      </c>
      <c r="O6" s="294">
        <f t="shared" si="0"/>
        <v>30000</v>
      </c>
      <c r="P6" s="294">
        <f t="shared" si="0"/>
        <v>30000</v>
      </c>
      <c r="Q6" s="295"/>
      <c r="R6" s="294">
        <f>P6</f>
        <v>30000</v>
      </c>
      <c r="S6" s="296"/>
    </row>
    <row r="7" customHeight="1" spans="2:19">
      <c r="Q7" s="297"/>
    </row>
    <row r="8" customHeight="1" spans="2:19">
      <c r="B8" s="298" t="s">
        <v>40</v>
      </c>
      <c r="Q8" s="297"/>
    </row>
    <row r="9" customHeight="1" spans="2:19">
      <c r="B9" s="299" t="s">
        <v>41</v>
      </c>
      <c r="C9" s="297"/>
      <c r="D9" s="300"/>
      <c r="E9" s="300"/>
      <c r="F9" s="300"/>
      <c r="G9" s="300"/>
      <c r="H9" s="300"/>
      <c r="I9" s="300"/>
      <c r="J9" s="300"/>
      <c r="K9" s="300"/>
      <c r="L9" s="300"/>
      <c r="M9" s="300"/>
      <c r="N9" s="300"/>
      <c r="O9" s="300"/>
      <c r="P9" s="300"/>
      <c r="Q9" s="301"/>
      <c r="R9" s="302">
        <f>SUM(CashReceipts[[#This Row],[Period 0]:[Period 12]])</f>
        <v>0</v>
      </c>
    </row>
    <row r="10" customHeight="1" spans="2:19">
      <c r="B10" s="299" t="s">
        <v>42</v>
      </c>
      <c r="C10" s="297"/>
      <c r="D10" s="300"/>
      <c r="E10" s="300"/>
      <c r="F10" s="300"/>
      <c r="G10" s="300"/>
      <c r="H10" s="300"/>
      <c r="I10" s="300"/>
      <c r="J10" s="300"/>
      <c r="K10" s="300"/>
      <c r="L10" s="300"/>
      <c r="M10" s="300"/>
      <c r="N10" s="300"/>
      <c r="O10" s="300"/>
      <c r="P10" s="300"/>
      <c r="Q10" s="301"/>
      <c r="R10" s="302">
        <f>SUM(CashReceipts[[#This Row],[Period 0]:[Period 12]])</f>
        <v>0</v>
      </c>
    </row>
    <row r="11" customHeight="1" spans="2:19">
      <c r="B11" s="299" t="s">
        <v>10</v>
      </c>
      <c r="C11" s="297"/>
      <c r="D11" s="300"/>
      <c r="E11" s="300"/>
      <c r="F11" s="300"/>
      <c r="G11" s="300"/>
      <c r="H11" s="300">
        <v>30000</v>
      </c>
      <c r="I11" s="300"/>
      <c r="J11" s="300"/>
      <c r="K11" s="300"/>
      <c r="L11" s="300"/>
      <c r="M11" s="300"/>
      <c r="N11" s="300"/>
      <c r="O11" s="300"/>
      <c r="P11" s="300"/>
      <c r="Q11" s="301"/>
      <c r="R11" s="302">
        <f>SUM(CashReceipts[[#This Row],[Period 0]:[Period 12]])</f>
        <v>30000</v>
      </c>
    </row>
    <row r="12" customHeight="1" spans="2:19">
      <c r="B12" s="299" t="s">
        <v>43</v>
      </c>
      <c r="C12" s="303"/>
      <c r="D12" s="300"/>
      <c r="E12" s="300"/>
      <c r="F12" s="300"/>
      <c r="G12" s="300"/>
      <c r="H12" s="300"/>
      <c r="I12" s="300"/>
      <c r="J12" s="300"/>
      <c r="K12" s="300"/>
      <c r="L12" s="300"/>
      <c r="M12" s="300"/>
      <c r="N12" s="300"/>
      <c r="O12" s="300"/>
      <c r="P12" s="300"/>
      <c r="Q12" s="301"/>
      <c r="R12" s="302">
        <f>SUM(CashReceipts[[#This Row],[Period 0]:[Period 12]])</f>
        <v>0</v>
      </c>
    </row>
    <row r="13" customHeight="1" spans="2:19">
      <c r="B13" s="299" t="s">
        <v>44</v>
      </c>
      <c r="C13" s="297"/>
      <c r="D13" s="300"/>
      <c r="E13" s="300"/>
      <c r="F13" s="300"/>
      <c r="G13" s="300"/>
      <c r="H13" s="300"/>
      <c r="I13" s="300"/>
      <c r="J13" s="300"/>
      <c r="K13" s="300"/>
      <c r="L13" s="300"/>
      <c r="M13" s="300"/>
      <c r="N13" s="300"/>
      <c r="O13" s="300"/>
      <c r="P13" s="300"/>
      <c r="Q13" s="301"/>
      <c r="R13" s="302">
        <f>SUM(CashReceipts[[#This Row],[Period 0]:[Period 12]])</f>
        <v>0</v>
      </c>
    </row>
    <row r="14" customHeight="1" spans="2:19">
      <c r="B14" s="299" t="s">
        <v>45</v>
      </c>
      <c r="C14" s="297"/>
      <c r="D14" s="300"/>
      <c r="E14" s="300"/>
      <c r="F14" s="300"/>
      <c r="G14" s="300"/>
      <c r="H14" s="300"/>
      <c r="I14" s="300"/>
      <c r="J14" s="300"/>
      <c r="K14" s="300"/>
      <c r="L14" s="300"/>
      <c r="M14" s="300"/>
      <c r="N14" s="300"/>
      <c r="O14" s="300"/>
      <c r="P14" s="300"/>
      <c r="Q14" s="301"/>
      <c r="R14" s="302">
        <f>SUM(CashReceipts[[#This Row],[Period 0]:[Period 12]])</f>
        <v>0</v>
      </c>
    </row>
    <row r="15" customHeight="1" spans="2:19">
      <c r="B15" s="304" t="s">
        <v>36</v>
      </c>
      <c r="C15" s="305"/>
      <c r="D15" s="306"/>
      <c r="E15" s="306">
        <f>SUBTOTAL(109,CashReceipts[Period 1])</f>
        <v>0</v>
      </c>
      <c r="F15" s="306">
        <f>SUBTOTAL(109,CashReceipts[Period 2])</f>
        <v>0</v>
      </c>
      <c r="G15" s="306">
        <f>SUBTOTAL(109,CashReceipts[Period 3])</f>
        <v>0</v>
      </c>
      <c r="H15" s="306">
        <f>SUBTOTAL(109,CashReceipts[Period 4])</f>
        <v>30000</v>
      </c>
      <c r="I15" s="306">
        <f>SUBTOTAL(109,CashReceipts[Period 5])</f>
        <v>0</v>
      </c>
      <c r="J15" s="306">
        <f>SUBTOTAL(109,CashReceipts[Period 6])</f>
        <v>0</v>
      </c>
      <c r="K15" s="306">
        <f>SUBTOTAL(109,CashReceipts[Period 7])</f>
        <v>0</v>
      </c>
      <c r="L15" s="306">
        <f>SUBTOTAL(109,CashReceipts[Period 8])</f>
        <v>0</v>
      </c>
      <c r="M15" s="306">
        <f>SUBTOTAL(109,CashReceipts[Period 9])</f>
        <v>0</v>
      </c>
      <c r="N15" s="306">
        <f>SUBTOTAL(109,CashReceipts[Period 10])</f>
        <v>0</v>
      </c>
      <c r="O15" s="306">
        <f>SUBTOTAL(109,CashReceipts[Period 11])</f>
        <v>0</v>
      </c>
      <c r="P15" s="306">
        <f>SUBTOTAL(109,CashReceipts[Period 12])</f>
        <v>0</v>
      </c>
      <c r="Q15" s="307"/>
      <c r="R15" s="306">
        <f>SUBTOTAL(109,CashReceipts[Total])</f>
        <v>30000</v>
      </c>
      <c r="S15" s="308"/>
    </row>
    <row r="16" customHeight="1" spans="2:19">
      <c r="B16" s="309" t="s">
        <v>46</v>
      </c>
      <c r="C16" s="310"/>
      <c r="D16" s="311">
        <f>D6+SUM(CashReceipts[Period 0])</f>
        <v>0</v>
      </c>
      <c r="E16" s="311">
        <f>E6+SUM(CashReceipts[Period 1])</f>
        <v>0</v>
      </c>
      <c r="F16" s="311">
        <f>F6+SUM(CashReceipts[Period 2])</f>
        <v>0</v>
      </c>
      <c r="G16" s="311">
        <f>G6+SUM(CashReceipts[Period 3])</f>
        <v>0</v>
      </c>
      <c r="H16" s="311">
        <f>H6+SUM(CashReceipts[Period 4])</f>
        <v>30000</v>
      </c>
      <c r="I16" s="311">
        <f>I6+SUM(CashReceipts[Period 5])</f>
        <v>30000</v>
      </c>
      <c r="J16" s="311">
        <f>J6+SUM(CashReceipts[Period 6])</f>
        <v>30000</v>
      </c>
      <c r="K16" s="311">
        <f>K6+SUM(CashReceipts[Period 7])</f>
        <v>30000</v>
      </c>
      <c r="L16" s="311">
        <f>L6+SUM(CashReceipts[Period 8])</f>
        <v>30000</v>
      </c>
      <c r="M16" s="311">
        <f>M6+SUM(CashReceipts[Period 9])</f>
        <v>30000</v>
      </c>
      <c r="N16" s="311">
        <f>N6+SUM(CashReceipts[Period 10])</f>
        <v>30000</v>
      </c>
      <c r="O16" s="311">
        <f>O6+SUM(CashReceipts[Period 11])</f>
        <v>30000</v>
      </c>
      <c r="P16" s="311">
        <f>P6+SUM(CashReceipts[Period 12])</f>
        <v>30000</v>
      </c>
      <c r="Q16" s="312"/>
      <c r="R16" s="311">
        <f>R6+SUM(CashReceipts[Total])</f>
        <v>60000</v>
      </c>
      <c r="S16" s="313"/>
    </row>
    <row r="17" customHeight="1" spans="2:19">
      <c r="B17" s="314"/>
      <c r="C17" s="310"/>
      <c r="D17" s="302"/>
      <c r="E17" s="302"/>
      <c r="F17" s="302"/>
      <c r="G17" s="302"/>
      <c r="H17" s="302"/>
      <c r="I17" s="302"/>
      <c r="J17" s="302"/>
      <c r="K17" s="302"/>
      <c r="L17" s="302"/>
      <c r="M17" s="302"/>
      <c r="N17" s="302"/>
      <c r="O17" s="302"/>
      <c r="P17" s="302"/>
      <c r="Q17" s="301"/>
      <c r="R17" s="302"/>
    </row>
    <row r="18" customHeight="1" spans="2:19">
      <c r="B18" s="315" t="s">
        <v>47</v>
      </c>
      <c r="C18" s="310"/>
      <c r="Q18" s="297"/>
    </row>
    <row r="19" customHeight="1" spans="2:19">
      <c r="B19" s="316" t="s">
        <v>48</v>
      </c>
      <c r="C19" s="297"/>
      <c r="D19" s="300"/>
      <c r="E19" s="300"/>
      <c r="F19" s="300"/>
      <c r="G19" s="300"/>
      <c r="H19" s="300"/>
      <c r="I19" s="300"/>
      <c r="J19" s="300"/>
      <c r="K19" s="300"/>
      <c r="L19" s="300"/>
      <c r="M19" s="300"/>
      <c r="N19" s="300"/>
      <c r="O19" s="300"/>
      <c r="P19" s="300"/>
      <c r="Q19" s="301"/>
      <c r="R19" s="302">
        <f>SUM(CashPaidOut218[[#This Row],[Period 0]:[Period 12]])</f>
        <v>0</v>
      </c>
      <c r="S19" s="317"/>
    </row>
    <row r="20" customHeight="1" spans="2:19">
      <c r="B20" s="316" t="s">
        <v>49</v>
      </c>
      <c r="C20" s="297"/>
      <c r="D20" s="300"/>
      <c r="E20" s="300"/>
      <c r="F20" s="300"/>
      <c r="G20" s="300"/>
      <c r="H20" s="300"/>
      <c r="I20" s="300"/>
      <c r="J20" s="300"/>
      <c r="K20" s="300"/>
      <c r="L20" s="300"/>
      <c r="M20" s="300"/>
      <c r="N20" s="300"/>
      <c r="O20" s="300"/>
      <c r="P20" s="300"/>
      <c r="Q20" s="301"/>
      <c r="R20" s="302">
        <f>SUM(CashPaidOut218[[#This Row],[Period 0]:[Period 12]])</f>
        <v>0</v>
      </c>
      <c r="S20" s="317"/>
    </row>
    <row r="21" customHeight="1" spans="2:19">
      <c r="B21" s="316" t="s">
        <v>50</v>
      </c>
      <c r="C21" s="297"/>
      <c r="D21" s="300"/>
      <c r="E21" s="300"/>
      <c r="F21" s="300"/>
      <c r="G21" s="300"/>
      <c r="H21" s="300"/>
      <c r="I21" s="300"/>
      <c r="J21" s="300"/>
      <c r="K21" s="300"/>
      <c r="L21" s="300"/>
      <c r="M21" s="300"/>
      <c r="N21" s="300"/>
      <c r="O21" s="300"/>
      <c r="P21" s="300"/>
      <c r="Q21" s="301"/>
      <c r="R21" s="302">
        <f>SUM(CashPaidOut218[[#This Row],[Period 0]:[Period 12]])</f>
        <v>0</v>
      </c>
      <c r="S21" s="317"/>
    </row>
    <row r="22" customHeight="1" spans="2:19">
      <c r="B22" s="316" t="s">
        <v>51</v>
      </c>
      <c r="C22" s="297"/>
      <c r="D22" s="300"/>
      <c r="E22" s="300"/>
      <c r="F22" s="300"/>
      <c r="G22" s="300"/>
      <c r="H22" s="300"/>
      <c r="I22" s="300"/>
      <c r="J22" s="300"/>
      <c r="K22" s="300"/>
      <c r="L22" s="300"/>
      <c r="M22" s="300"/>
      <c r="N22" s="300"/>
      <c r="O22" s="300"/>
      <c r="P22" s="300"/>
      <c r="Q22" s="301"/>
      <c r="R22" s="302">
        <f>SUM(CashPaidOut218[[#This Row],[Period 0]:[Period 12]])</f>
        <v>0</v>
      </c>
      <c r="S22" s="317"/>
    </row>
    <row r="23" customHeight="1" spans="2:19">
      <c r="B23" s="316" t="s">
        <v>52</v>
      </c>
      <c r="C23" s="297"/>
      <c r="D23" s="300"/>
      <c r="E23" s="300"/>
      <c r="F23" s="300"/>
      <c r="G23" s="300"/>
      <c r="H23" s="300"/>
      <c r="I23" s="300"/>
      <c r="J23" s="300"/>
      <c r="K23" s="300"/>
      <c r="L23" s="300"/>
      <c r="M23" s="300"/>
      <c r="N23" s="300"/>
      <c r="O23" s="300"/>
      <c r="P23" s="300"/>
      <c r="Q23" s="301"/>
      <c r="R23" s="302">
        <f>SUM(CashPaidOut218[[#This Row],[Period 0]:[Period 12]])</f>
        <v>0</v>
      </c>
      <c r="S23" s="317"/>
    </row>
    <row r="24" customHeight="1" spans="2:19">
      <c r="B24" s="318" t="s">
        <v>36</v>
      </c>
      <c r="C24" s="319"/>
      <c r="D24" s="306">
        <f>SUBTOTAL(109,CashPaidOut218[Period 0])</f>
        <v>0</v>
      </c>
      <c r="E24" s="306">
        <f>SUBTOTAL(109,CashPaidOut218[Period 1])</f>
        <v>0</v>
      </c>
      <c r="F24" s="306">
        <f>SUBTOTAL(109,CashPaidOut218[Period 2])</f>
        <v>0</v>
      </c>
      <c r="G24" s="306">
        <f>SUBTOTAL(109,CashPaidOut218[Period 3])</f>
        <v>0</v>
      </c>
      <c r="H24" s="306">
        <f>SUBTOTAL(109,CashPaidOut218[Period 4])</f>
        <v>0</v>
      </c>
      <c r="I24" s="306">
        <f>SUBTOTAL(109,CashPaidOut218[Period 5])</f>
        <v>0</v>
      </c>
      <c r="J24" s="306">
        <f>SUBTOTAL(109,CashPaidOut218[Period 6])</f>
        <v>0</v>
      </c>
      <c r="K24" s="306">
        <f>SUBTOTAL(109,CashPaidOut218[Period 7])</f>
        <v>0</v>
      </c>
      <c r="L24" s="306">
        <f>SUBTOTAL(109,CashPaidOut218[Period 8])</f>
        <v>0</v>
      </c>
      <c r="M24" s="306">
        <f>SUBTOTAL(109,CashPaidOut218[Period 9])</f>
        <v>0</v>
      </c>
      <c r="N24" s="306">
        <f>SUBTOTAL(109,CashPaidOut218[Period 10])</f>
        <v>0</v>
      </c>
      <c r="O24" s="306">
        <f>SUBTOTAL(109,CashPaidOut218[Period 11])</f>
        <v>0</v>
      </c>
      <c r="P24" s="306">
        <f>SUBTOTAL(109,CashPaidOut218[Period 12])</f>
        <v>0</v>
      </c>
      <c r="Q24" s="307"/>
      <c r="R24" s="306">
        <f>SUBTOTAL(109,CashPaidOut218[Total])</f>
        <v>0</v>
      </c>
      <c r="S24" s="320"/>
    </row>
    <row r="25" customHeight="1" spans="2:19">
      <c r="B25" s="321"/>
    </row>
    <row r="26" customHeight="1" spans="2:19">
      <c r="B26" s="315" t="s">
        <v>53</v>
      </c>
      <c r="C26" s="297"/>
      <c r="Q26" s="297"/>
    </row>
    <row r="27" customHeight="1" spans="2:19">
      <c r="B27" s="316" t="s">
        <v>54</v>
      </c>
      <c r="C27" s="297"/>
      <c r="D27" s="300"/>
      <c r="E27" s="300"/>
      <c r="F27" s="300"/>
      <c r="G27" s="300"/>
      <c r="H27" s="300"/>
      <c r="I27" s="300"/>
      <c r="J27" s="300"/>
      <c r="K27" s="300"/>
      <c r="L27" s="300"/>
      <c r="M27" s="300"/>
      <c r="N27" s="300"/>
      <c r="O27" s="300"/>
      <c r="P27" s="300"/>
      <c r="Q27" s="322"/>
      <c r="R27" s="302">
        <f>SUM(CashPaidOut[[#This Row],[Period 0]:[Period 12]])</f>
        <v>0</v>
      </c>
      <c r="S27" s="320"/>
    </row>
    <row r="28" customHeight="1" spans="2:19">
      <c r="B28" s="316" t="s">
        <v>55</v>
      </c>
      <c r="C28" s="297"/>
      <c r="D28" s="300"/>
      <c r="E28" s="300"/>
      <c r="F28" s="300"/>
      <c r="G28" s="300"/>
      <c r="H28" s="300"/>
      <c r="I28" s="300"/>
      <c r="J28" s="300"/>
      <c r="K28" s="300"/>
      <c r="L28" s="300"/>
      <c r="M28" s="300"/>
      <c r="N28" s="300"/>
      <c r="O28" s="300"/>
      <c r="P28" s="300"/>
      <c r="Q28" s="322"/>
      <c r="R28" s="302">
        <f>SUM(CashPaidOut[[#This Row],[Period 0]:[Period 12]])</f>
        <v>0</v>
      </c>
      <c r="S28" s="320"/>
    </row>
    <row r="29" customHeight="1" spans="2:19">
      <c r="B29" s="316" t="s">
        <v>43</v>
      </c>
      <c r="C29" s="297"/>
      <c r="D29" s="300"/>
      <c r="E29" s="300"/>
      <c r="F29" s="300"/>
      <c r="G29" s="300"/>
      <c r="H29" s="300"/>
      <c r="I29" s="300"/>
      <c r="J29" s="300"/>
      <c r="K29" s="300"/>
      <c r="L29" s="300"/>
      <c r="M29" s="300"/>
      <c r="N29" s="300"/>
      <c r="O29" s="300"/>
      <c r="P29" s="300"/>
      <c r="Q29" s="322"/>
      <c r="R29" s="302">
        <f>SUM(CashPaidOut[[#This Row],[Period 0]:[Period 12]])</f>
        <v>0</v>
      </c>
      <c r="S29" s="320"/>
    </row>
    <row r="30" customHeight="1" spans="2:19">
      <c r="B30" s="316" t="s">
        <v>56</v>
      </c>
      <c r="C30" s="297"/>
      <c r="D30" s="300"/>
      <c r="E30" s="300"/>
      <c r="F30" s="300"/>
      <c r="G30" s="300"/>
      <c r="H30" s="300"/>
      <c r="I30" s="300"/>
      <c r="J30" s="300"/>
      <c r="K30" s="300"/>
      <c r="L30" s="300"/>
      <c r="M30" s="300"/>
      <c r="N30" s="300"/>
      <c r="O30" s="300"/>
      <c r="P30" s="300"/>
      <c r="Q30" s="322"/>
      <c r="R30" s="302">
        <f>SUM(CashPaidOut[[#This Row],[Period 0]:[Period 12]])</f>
        <v>0</v>
      </c>
      <c r="S30" s="320"/>
    </row>
    <row r="31" customHeight="1" spans="2:19">
      <c r="B31" s="316" t="s">
        <v>57</v>
      </c>
      <c r="C31" s="297"/>
      <c r="D31" s="300"/>
      <c r="E31" s="300"/>
      <c r="F31" s="300"/>
      <c r="G31" s="300"/>
      <c r="H31" s="300"/>
      <c r="I31" s="300"/>
      <c r="J31" s="300"/>
      <c r="K31" s="300"/>
      <c r="L31" s="300"/>
      <c r="M31" s="300"/>
      <c r="N31" s="300"/>
      <c r="O31" s="300"/>
      <c r="P31" s="300"/>
      <c r="Q31" s="322"/>
      <c r="R31" s="302">
        <f>SUM(CashPaidOut[[#This Row],[Period 0]:[Period 12]])</f>
        <v>0</v>
      </c>
      <c r="S31" s="320"/>
    </row>
    <row r="32" customHeight="1" spans="2:19">
      <c r="B32" s="316" t="s">
        <v>58</v>
      </c>
      <c r="C32" s="297"/>
      <c r="D32" s="300"/>
      <c r="E32" s="300"/>
      <c r="F32" s="300"/>
      <c r="G32" s="300"/>
      <c r="H32" s="300"/>
      <c r="I32" s="300"/>
      <c r="J32" s="300"/>
      <c r="K32" s="300"/>
      <c r="L32" s="300"/>
      <c r="M32" s="300"/>
      <c r="N32" s="300"/>
      <c r="O32" s="300"/>
      <c r="P32" s="300"/>
      <c r="Q32" s="322"/>
      <c r="R32" s="302">
        <f>SUM(CashPaidOut[[#This Row],[Period 0]:[Period 12]])</f>
        <v>0</v>
      </c>
      <c r="S32" s="320"/>
    </row>
    <row r="33" customHeight="1" spans="2:19">
      <c r="B33" s="316" t="s">
        <v>59</v>
      </c>
      <c r="C33" s="297"/>
      <c r="D33" s="300"/>
      <c r="E33" s="300"/>
      <c r="F33" s="300"/>
      <c r="G33" s="300"/>
      <c r="H33" s="300"/>
      <c r="I33" s="300"/>
      <c r="J33" s="300"/>
      <c r="K33" s="300"/>
      <c r="L33" s="300"/>
      <c r="M33" s="300"/>
      <c r="N33" s="300"/>
      <c r="O33" s="300"/>
      <c r="P33" s="300"/>
      <c r="Q33" s="322"/>
      <c r="R33" s="302">
        <f>SUM(CashPaidOut[[#This Row],[Period 0]:[Period 12]])</f>
        <v>0</v>
      </c>
      <c r="S33" s="320"/>
    </row>
    <row r="34" customHeight="1" spans="2:19">
      <c r="B34" s="316" t="s">
        <v>60</v>
      </c>
      <c r="C34" s="297"/>
      <c r="D34" s="300"/>
      <c r="E34" s="300"/>
      <c r="F34" s="300"/>
      <c r="G34" s="300"/>
      <c r="H34" s="300"/>
      <c r="I34" s="300"/>
      <c r="J34" s="300"/>
      <c r="K34" s="300"/>
      <c r="L34" s="300"/>
      <c r="M34" s="300"/>
      <c r="N34" s="300"/>
      <c r="O34" s="300"/>
      <c r="P34" s="300"/>
      <c r="Q34" s="322"/>
      <c r="R34" s="302">
        <f>SUM(CashPaidOut[[#This Row],[Period 0]:[Period 12]])</f>
        <v>0</v>
      </c>
      <c r="S34" s="320"/>
    </row>
    <row r="35" customHeight="1" spans="2:19">
      <c r="B35" s="316" t="s">
        <v>61</v>
      </c>
      <c r="C35" s="297"/>
      <c r="D35" s="300"/>
      <c r="E35" s="300"/>
      <c r="F35" s="300"/>
      <c r="G35" s="300"/>
      <c r="H35" s="300"/>
      <c r="I35" s="300"/>
      <c r="J35" s="300"/>
      <c r="K35" s="300"/>
      <c r="L35" s="300"/>
      <c r="M35" s="300"/>
      <c r="N35" s="300"/>
      <c r="O35" s="300"/>
      <c r="P35" s="300" t="s">
        <v>62</v>
      </c>
      <c r="Q35" s="322"/>
      <c r="R35" s="302">
        <f>SUM(CashPaidOut[[#This Row],[Period 0]:[Period 12]])</f>
        <v>0</v>
      </c>
      <c r="S35" s="320"/>
    </row>
    <row r="36" customHeight="1" spans="2:19">
      <c r="B36" s="316" t="s">
        <v>63</v>
      </c>
      <c r="C36" s="297"/>
      <c r="D36" s="300"/>
      <c r="E36" s="300"/>
      <c r="F36" s="300"/>
      <c r="G36" s="300"/>
      <c r="H36" s="300"/>
      <c r="I36" s="300"/>
      <c r="J36" s="300"/>
      <c r="K36" s="300"/>
      <c r="L36" s="300"/>
      <c r="M36" s="300"/>
      <c r="N36" s="300"/>
      <c r="O36" s="300"/>
      <c r="P36" s="300"/>
      <c r="Q36" s="322"/>
      <c r="R36" s="302">
        <f>SUM(CashPaidOut[[#This Row],[Period 0]:[Period 12]])</f>
        <v>0</v>
      </c>
      <c r="S36" s="320"/>
    </row>
    <row r="37" customHeight="1" spans="2:19">
      <c r="B37" s="316" t="s">
        <v>64</v>
      </c>
      <c r="C37" s="297"/>
      <c r="D37" s="300"/>
      <c r="E37" s="300"/>
      <c r="F37" s="300"/>
      <c r="G37" s="300"/>
      <c r="H37" s="300"/>
      <c r="I37" s="300"/>
      <c r="J37" s="300"/>
      <c r="K37" s="300"/>
      <c r="L37" s="300"/>
      <c r="M37" s="300"/>
      <c r="N37" s="300"/>
      <c r="O37" s="300"/>
      <c r="P37" s="300"/>
      <c r="Q37" s="322"/>
      <c r="R37" s="302">
        <f>SUM(CashPaidOut[[#This Row],[Period 0]:[Period 12]])</f>
        <v>0</v>
      </c>
      <c r="S37" s="320"/>
    </row>
    <row r="38" customHeight="1" spans="2:19">
      <c r="B38" s="316" t="s">
        <v>12</v>
      </c>
      <c r="C38" s="297"/>
      <c r="D38" s="300"/>
      <c r="E38" s="300"/>
      <c r="F38" s="300"/>
      <c r="G38" s="300"/>
      <c r="H38" s="300"/>
      <c r="I38" s="300"/>
      <c r="J38" s="300"/>
      <c r="K38" s="300"/>
      <c r="L38" s="300"/>
      <c r="M38" s="300"/>
      <c r="N38" s="300"/>
      <c r="O38" s="300"/>
      <c r="P38" s="300"/>
      <c r="Q38" s="322"/>
      <c r="R38" s="302">
        <f>SUM(CashPaidOut[[#This Row],[Period 0]:[Period 12]])</f>
        <v>0</v>
      </c>
      <c r="S38" s="320"/>
    </row>
    <row r="39" customHeight="1" spans="2:19">
      <c r="B39" s="316" t="s">
        <v>65</v>
      </c>
      <c r="C39" s="297"/>
      <c r="D39" s="300"/>
      <c r="E39" s="300"/>
      <c r="F39" s="300"/>
      <c r="G39" s="300"/>
      <c r="H39" s="300"/>
      <c r="I39" s="300"/>
      <c r="J39" s="300"/>
      <c r="K39" s="300"/>
      <c r="L39" s="300"/>
      <c r="M39" s="300"/>
      <c r="N39" s="300"/>
      <c r="O39" s="300"/>
      <c r="P39" s="300"/>
      <c r="Q39" s="322"/>
      <c r="R39" s="302">
        <f>SUM(CashPaidOut[[#This Row],[Period 0]:[Period 12]])</f>
        <v>0</v>
      </c>
      <c r="S39" s="320"/>
    </row>
    <row r="40" customHeight="1" spans="2:19">
      <c r="B40" s="316" t="s">
        <v>66</v>
      </c>
      <c r="C40" s="297"/>
      <c r="D40" s="300"/>
      <c r="E40" s="300"/>
      <c r="F40" s="300"/>
      <c r="G40" s="300"/>
      <c r="H40" s="300"/>
      <c r="I40" s="300"/>
      <c r="J40" s="300"/>
      <c r="K40" s="300"/>
      <c r="L40" s="300"/>
      <c r="M40" s="300"/>
      <c r="N40" s="300"/>
      <c r="O40" s="300"/>
      <c r="P40" s="300"/>
      <c r="Q40" s="322"/>
      <c r="R40" s="302">
        <f>SUM(CashPaidOut[[#This Row],[Period 0]:[Period 12]])</f>
        <v>0</v>
      </c>
      <c r="S40" s="320"/>
    </row>
    <row r="41" customHeight="1" spans="2:19">
      <c r="B41" s="316" t="s">
        <v>67</v>
      </c>
      <c r="C41" s="297"/>
      <c r="D41" s="300"/>
      <c r="E41" s="300"/>
      <c r="F41" s="300"/>
      <c r="G41" s="300"/>
      <c r="H41" s="300"/>
      <c r="I41" s="300"/>
      <c r="J41" s="300"/>
      <c r="K41" s="300"/>
      <c r="L41" s="300"/>
      <c r="M41" s="300"/>
      <c r="N41" s="300"/>
      <c r="O41" s="300"/>
      <c r="P41" s="300"/>
      <c r="Q41" s="322"/>
      <c r="R41" s="302">
        <f>SUM(CashPaidOut[[#This Row],[Period 0]:[Period 12]])</f>
        <v>0</v>
      </c>
      <c r="S41" s="320"/>
    </row>
    <row r="42" customHeight="1" spans="2:19">
      <c r="B42" s="316" t="s">
        <v>68</v>
      </c>
      <c r="C42" s="297"/>
      <c r="D42" s="300"/>
      <c r="E42" s="300"/>
      <c r="F42" s="300"/>
      <c r="G42" s="300"/>
      <c r="H42" s="300"/>
      <c r="I42" s="300"/>
      <c r="J42" s="300"/>
      <c r="K42" s="300"/>
      <c r="L42" s="300"/>
      <c r="M42" s="300"/>
      <c r="N42" s="300"/>
      <c r="O42" s="300"/>
      <c r="P42" s="300"/>
      <c r="Q42" s="322"/>
      <c r="R42" s="302">
        <f>SUM(CashPaidOut[[#This Row],[Period 0]:[Period 12]])</f>
        <v>0</v>
      </c>
      <c r="S42" s="320"/>
    </row>
    <row r="43" customHeight="1" spans="2:19">
      <c r="B43" s="316" t="s">
        <v>69</v>
      </c>
      <c r="C43" s="297"/>
      <c r="D43" s="300"/>
      <c r="E43" s="300"/>
      <c r="F43" s="300"/>
      <c r="G43" s="300"/>
      <c r="H43" s="300"/>
      <c r="I43" s="300"/>
      <c r="J43" s="300"/>
      <c r="K43" s="300"/>
      <c r="L43" s="300"/>
      <c r="M43" s="300"/>
      <c r="N43" s="300"/>
      <c r="O43" s="300"/>
      <c r="P43" s="300"/>
      <c r="Q43" s="322"/>
      <c r="R43" s="302">
        <f>SUM(CashPaidOut[[#This Row],[Period 0]:[Period 12]])</f>
        <v>0</v>
      </c>
      <c r="S43" s="320"/>
    </row>
    <row r="44" customHeight="1" spans="2:19">
      <c r="B44" s="316" t="s">
        <v>70</v>
      </c>
      <c r="C44" s="297"/>
      <c r="D44" s="300"/>
      <c r="E44" s="300"/>
      <c r="F44" s="300"/>
      <c r="G44" s="300"/>
      <c r="H44" s="300"/>
      <c r="I44" s="300"/>
      <c r="J44" s="300"/>
      <c r="K44" s="300"/>
      <c r="L44" s="300"/>
      <c r="M44" s="300"/>
      <c r="N44" s="300"/>
      <c r="O44" s="300"/>
      <c r="P44" s="300"/>
      <c r="Q44" s="322"/>
      <c r="R44" s="302">
        <f>SUM(CashPaidOut[[#This Row],[Period 0]:[Period 12]])</f>
        <v>0</v>
      </c>
      <c r="S44" s="320"/>
    </row>
    <row r="45" customHeight="1" spans="2:19">
      <c r="B45" s="316" t="s">
        <v>71</v>
      </c>
      <c r="C45" s="297"/>
      <c r="D45" s="300"/>
      <c r="E45" s="300"/>
      <c r="F45" s="300"/>
      <c r="G45" s="300"/>
      <c r="H45" s="300"/>
      <c r="I45" s="300"/>
      <c r="J45" s="300"/>
      <c r="K45" s="300"/>
      <c r="L45" s="300"/>
      <c r="M45" s="300"/>
      <c r="N45" s="300"/>
      <c r="O45" s="300"/>
      <c r="P45" s="300"/>
      <c r="Q45" s="322"/>
      <c r="R45" s="302">
        <f>SUM(CashPaidOut[[#This Row],[Period 0]:[Period 12]])</f>
        <v>0</v>
      </c>
      <c r="S45" s="320"/>
    </row>
    <row r="46" customHeight="1" spans="2:19">
      <c r="B46" s="316"/>
      <c r="C46" s="297"/>
      <c r="D46" s="300"/>
      <c r="E46" s="300"/>
      <c r="F46" s="300"/>
      <c r="G46" s="300"/>
      <c r="H46" s="300"/>
      <c r="I46" s="300"/>
      <c r="J46" s="300"/>
      <c r="K46" s="300"/>
      <c r="L46" s="300"/>
      <c r="M46" s="300"/>
      <c r="N46" s="300"/>
      <c r="O46" s="300"/>
      <c r="P46" s="300"/>
      <c r="Q46" s="322"/>
      <c r="R46" s="302">
        <f>SUM(CashPaidOut[[#This Row],[Period 0]:[Period 12]])</f>
        <v>0</v>
      </c>
      <c r="S46" s="320"/>
    </row>
    <row r="47" customHeight="1" spans="2:19">
      <c r="B47" s="316"/>
      <c r="C47" s="297"/>
      <c r="D47" s="300"/>
      <c r="E47" s="300"/>
      <c r="F47" s="300"/>
      <c r="G47" s="300"/>
      <c r="H47" s="300"/>
      <c r="I47" s="300"/>
      <c r="J47" s="300"/>
      <c r="K47" s="300"/>
      <c r="L47" s="300"/>
      <c r="M47" s="300"/>
      <c r="N47" s="300"/>
      <c r="O47" s="300"/>
      <c r="P47" s="300"/>
      <c r="Q47" s="322"/>
      <c r="R47" s="302">
        <f>SUM(CashPaidOut[[#This Row],[Period 0]:[Period 12]])</f>
        <v>0</v>
      </c>
      <c r="S47" s="320"/>
    </row>
    <row r="48" customHeight="1" spans="2:19">
      <c r="B48" s="318" t="s">
        <v>36</v>
      </c>
      <c r="C48" s="319"/>
      <c r="D48" s="306">
        <f>SUBTOTAL(109,CashPaidOut[Period 0])</f>
        <v>0</v>
      </c>
      <c r="E48" s="306">
        <f>SUBTOTAL(109,CashPaidOut[Period 1])</f>
        <v>0</v>
      </c>
      <c r="F48" s="306">
        <f>SUBTOTAL(109,CashPaidOut[Period 2])</f>
        <v>0</v>
      </c>
      <c r="G48" s="306">
        <f>SUBTOTAL(109,CashPaidOut[Period 3])</f>
        <v>0</v>
      </c>
      <c r="H48" s="306">
        <f>SUBTOTAL(109,CashPaidOut[Period 4])</f>
        <v>0</v>
      </c>
      <c r="I48" s="306">
        <f>SUBTOTAL(109,CashPaidOut[Period 5])</f>
        <v>0</v>
      </c>
      <c r="J48" s="306">
        <f>SUBTOTAL(109,CashPaidOut[Period 6])</f>
        <v>0</v>
      </c>
      <c r="K48" s="306">
        <f>SUBTOTAL(109,CashPaidOut[Period 7])</f>
        <v>0</v>
      </c>
      <c r="L48" s="306">
        <f>SUBTOTAL(109,CashPaidOut[Period 8])</f>
        <v>0</v>
      </c>
      <c r="M48" s="306">
        <f>SUBTOTAL(109,CashPaidOut[Period 9])</f>
        <v>0</v>
      </c>
      <c r="N48" s="306">
        <f>SUBTOTAL(109,CashPaidOut[Period 10])</f>
        <v>0</v>
      </c>
      <c r="O48" s="306">
        <f>SUBTOTAL(109,CashPaidOut[Period 11])</f>
        <v>0</v>
      </c>
      <c r="P48" s="306">
        <f>SUBTOTAL(109,CashPaidOut[Period 12])</f>
        <v>0</v>
      </c>
      <c r="Q48" s="307"/>
      <c r="R48" s="306">
        <f>SUBTOTAL(109,CashPaidOut[Total])</f>
        <v>0</v>
      </c>
      <c r="S48" s="308"/>
    </row>
    <row r="49" customHeight="1" spans="2:19">
      <c r="B49" s="314"/>
      <c r="C49" s="310"/>
      <c r="D49" s="302"/>
      <c r="E49" s="302"/>
      <c r="F49" s="302"/>
      <c r="G49" s="302"/>
      <c r="H49" s="302"/>
      <c r="I49" s="302"/>
      <c r="J49" s="302"/>
      <c r="K49" s="302"/>
      <c r="L49" s="302"/>
      <c r="M49" s="302"/>
      <c r="N49" s="302"/>
      <c r="O49" s="302"/>
      <c r="P49" s="302"/>
      <c r="Q49" s="301"/>
      <c r="R49" s="302"/>
    </row>
    <row r="50" customHeight="1" spans="2:19">
      <c r="B50" s="315" t="s">
        <v>72</v>
      </c>
      <c r="C50" s="310"/>
      <c r="Q50" s="297"/>
    </row>
    <row r="51" customHeight="1" spans="2:19">
      <c r="B51" s="316" t="s">
        <v>73</v>
      </c>
      <c r="C51" s="297"/>
      <c r="D51" s="300"/>
      <c r="E51" s="300"/>
      <c r="F51" s="300"/>
      <c r="G51" s="300"/>
      <c r="H51" s="300"/>
      <c r="I51" s="300"/>
      <c r="J51" s="300"/>
      <c r="K51" s="300"/>
      <c r="L51" s="300"/>
      <c r="M51" s="300"/>
      <c r="N51" s="300"/>
      <c r="O51" s="300"/>
      <c r="P51" s="300"/>
      <c r="Q51" s="301"/>
      <c r="R51" s="302">
        <f>SUM(CashPaidOut2[[#This Row],[Period 0]:[Period 12]])</f>
        <v>0</v>
      </c>
      <c r="S51" s="317"/>
    </row>
    <row r="52" customHeight="1" spans="2:19">
      <c r="B52" s="316" t="s">
        <v>74</v>
      </c>
      <c r="C52" s="297"/>
      <c r="D52" s="300"/>
      <c r="E52" s="300"/>
      <c r="F52" s="300"/>
      <c r="G52" s="300"/>
      <c r="H52" s="300"/>
      <c r="I52" s="300"/>
      <c r="J52" s="300"/>
      <c r="K52" s="300"/>
      <c r="L52" s="300"/>
      <c r="M52" s="300"/>
      <c r="N52" s="300"/>
      <c r="O52" s="300"/>
      <c r="P52" s="300"/>
      <c r="Q52" s="301"/>
      <c r="R52" s="302">
        <f>SUM(CashPaidOut2[[#This Row],[Period 0]:[Period 12]])</f>
        <v>0</v>
      </c>
      <c r="S52" s="317"/>
    </row>
    <row r="53" customHeight="1" spans="2:19">
      <c r="B53" s="316" t="s">
        <v>75</v>
      </c>
      <c r="C53" s="297"/>
      <c r="D53" s="300"/>
      <c r="E53" s="300"/>
      <c r="F53" s="300"/>
      <c r="G53" s="300"/>
      <c r="H53" s="300"/>
      <c r="I53" s="300"/>
      <c r="J53" s="300"/>
      <c r="K53" s="300"/>
      <c r="L53" s="300"/>
      <c r="M53" s="300"/>
      <c r="N53" s="300"/>
      <c r="O53" s="300"/>
      <c r="P53" s="300"/>
      <c r="Q53" s="301"/>
      <c r="R53" s="302">
        <f>SUM(CashPaidOut2[[#This Row],[Period 0]:[Period 12]])</f>
        <v>0</v>
      </c>
      <c r="S53" s="317"/>
    </row>
    <row r="54" customHeight="1" spans="2:19">
      <c r="B54" s="316" t="s">
        <v>51</v>
      </c>
      <c r="C54" s="297"/>
      <c r="D54" s="300"/>
      <c r="E54" s="300"/>
      <c r="F54" s="300"/>
      <c r="G54" s="300"/>
      <c r="H54" s="300"/>
      <c r="I54" s="300"/>
      <c r="J54" s="300"/>
      <c r="K54" s="300"/>
      <c r="L54" s="300"/>
      <c r="M54" s="300"/>
      <c r="N54" s="300"/>
      <c r="O54" s="300"/>
      <c r="P54" s="300"/>
      <c r="Q54" s="301"/>
      <c r="R54" s="302">
        <f>SUM(CashPaidOut2[[#This Row],[Period 0]:[Period 12]])</f>
        <v>0</v>
      </c>
      <c r="S54" s="317"/>
    </row>
    <row r="55" customHeight="1" spans="2:19">
      <c r="B55" s="316" t="s">
        <v>52</v>
      </c>
      <c r="C55" s="297"/>
      <c r="D55" s="300"/>
      <c r="E55" s="300"/>
      <c r="F55" s="300"/>
      <c r="G55" s="300"/>
      <c r="H55" s="300"/>
      <c r="I55" s="300"/>
      <c r="J55" s="300"/>
      <c r="K55" s="300"/>
      <c r="L55" s="300"/>
      <c r="M55" s="300"/>
      <c r="N55" s="300"/>
      <c r="O55" s="300"/>
      <c r="P55" s="300"/>
      <c r="Q55" s="301"/>
      <c r="R55" s="302">
        <f>SUM(CashPaidOut2[[#This Row],[Period 0]:[Period 12]])</f>
        <v>0</v>
      </c>
      <c r="S55" s="317"/>
    </row>
    <row r="56" customHeight="1" spans="2:19">
      <c r="B56" s="314" t="s">
        <v>36</v>
      </c>
      <c r="C56" s="297"/>
      <c r="D56" s="302">
        <f>SUBTOTAL(109,CashPaidOut2[Period 0])</f>
        <v>0</v>
      </c>
      <c r="E56" s="302">
        <f>SUBTOTAL(109,CashPaidOut2[Period 1])</f>
        <v>0</v>
      </c>
      <c r="F56" s="302">
        <f>SUBTOTAL(109,CashPaidOut2[Period 2])</f>
        <v>0</v>
      </c>
      <c r="G56" s="302">
        <f>SUBTOTAL(109,CashPaidOut2[Period 3])</f>
        <v>0</v>
      </c>
      <c r="H56" s="302">
        <f>SUBTOTAL(109,CashPaidOut2[Period 4])</f>
        <v>0</v>
      </c>
      <c r="I56" s="302">
        <f>SUBTOTAL(109,CashPaidOut2[Period 5])</f>
        <v>0</v>
      </c>
      <c r="J56" s="302">
        <f>SUBTOTAL(109,CashPaidOut2[Period 6])</f>
        <v>0</v>
      </c>
      <c r="K56" s="302">
        <f>SUBTOTAL(109,CashPaidOut2[Period 7])</f>
        <v>0</v>
      </c>
      <c r="L56" s="302">
        <f>SUBTOTAL(109,CashPaidOut2[Period 8])</f>
        <v>0</v>
      </c>
      <c r="M56" s="302">
        <f>SUBTOTAL(109,CashPaidOut2[Period 9])</f>
        <v>0</v>
      </c>
      <c r="N56" s="302">
        <f>SUBTOTAL(109,CashPaidOut2[Period 10])</f>
        <v>0</v>
      </c>
      <c r="O56" s="302">
        <f>SUBTOTAL(109,CashPaidOut2[Period 11])</f>
        <v>0</v>
      </c>
      <c r="P56" s="302">
        <f>SUBTOTAL(109,CashPaidOut2[Period 12])</f>
        <v>0</v>
      </c>
      <c r="Q56" s="301"/>
      <c r="R56" s="302">
        <f>SUBTOTAL(109,CashPaidOut2[Total])</f>
        <v>0</v>
      </c>
      <c r="S56" s="274"/>
    </row>
    <row r="57" customHeight="1" spans="2:19">
      <c r="B57" s="314"/>
      <c r="C57" s="310"/>
      <c r="D57" s="302"/>
      <c r="E57" s="302"/>
      <c r="F57" s="302"/>
      <c r="G57" s="302"/>
      <c r="H57" s="302"/>
      <c r="I57" s="302"/>
      <c r="J57" s="302"/>
      <c r="K57" s="302"/>
      <c r="L57" s="302"/>
      <c r="M57" s="302"/>
      <c r="N57" s="302"/>
      <c r="O57" s="302"/>
      <c r="P57" s="302"/>
      <c r="Q57" s="301"/>
      <c r="R57" s="302"/>
      <c r="S57" s="274"/>
    </row>
    <row r="58" customHeight="1" spans="2:19">
      <c r="B58" s="315" t="s">
        <v>76</v>
      </c>
      <c r="C58" s="310"/>
      <c r="Q58" s="297"/>
    </row>
    <row r="59" customHeight="1" spans="2:19">
      <c r="B59" s="316" t="s">
        <v>77</v>
      </c>
      <c r="C59" s="297"/>
      <c r="D59" s="300"/>
      <c r="E59" s="300"/>
      <c r="F59" s="300"/>
      <c r="G59" s="300"/>
      <c r="H59" s="300"/>
      <c r="I59" s="300"/>
      <c r="J59" s="300"/>
      <c r="K59" s="300"/>
      <c r="L59" s="300"/>
      <c r="M59" s="300"/>
      <c r="N59" s="300"/>
      <c r="O59" s="300"/>
      <c r="P59" s="300"/>
      <c r="Q59" s="301"/>
      <c r="R59" s="302">
        <f>SUM(CashPaidOut26[[#This Row],[Period 0]:[Period 12]])</f>
        <v>0</v>
      </c>
      <c r="S59" s="317"/>
    </row>
    <row r="60" customHeight="1" spans="2:19">
      <c r="B60" s="316" t="s">
        <v>78</v>
      </c>
      <c r="C60" s="297"/>
      <c r="D60" s="300"/>
      <c r="E60" s="300"/>
      <c r="F60" s="300"/>
      <c r="G60" s="300"/>
      <c r="H60" s="300"/>
      <c r="I60" s="300"/>
      <c r="J60" s="300"/>
      <c r="K60" s="300"/>
      <c r="L60" s="300"/>
      <c r="M60" s="300"/>
      <c r="N60" s="300"/>
      <c r="O60" s="300"/>
      <c r="P60" s="300"/>
      <c r="Q60" s="301"/>
      <c r="R60" s="302">
        <f>SUM(CashPaidOut26[[#This Row],[Period 0]:[Period 12]])</f>
        <v>0</v>
      </c>
      <c r="S60" s="317"/>
    </row>
    <row r="61" customHeight="1" spans="2:19">
      <c r="B61" s="316" t="s">
        <v>50</v>
      </c>
      <c r="C61" s="297"/>
      <c r="D61" s="300"/>
      <c r="E61" s="300"/>
      <c r="F61" s="300"/>
      <c r="G61" s="300"/>
      <c r="H61" s="300"/>
      <c r="I61" s="300"/>
      <c r="J61" s="300"/>
      <c r="K61" s="300"/>
      <c r="L61" s="300"/>
      <c r="M61" s="300"/>
      <c r="N61" s="300"/>
      <c r="O61" s="300"/>
      <c r="P61" s="300"/>
      <c r="Q61" s="301"/>
      <c r="R61" s="302">
        <f>SUM(CashPaidOut26[[#This Row],[Period 0]:[Period 12]])</f>
        <v>0</v>
      </c>
      <c r="S61" s="317"/>
    </row>
    <row r="62" customHeight="1" spans="2:19">
      <c r="B62" s="316" t="s">
        <v>51</v>
      </c>
      <c r="C62" s="297"/>
      <c r="D62" s="300"/>
      <c r="E62" s="300"/>
      <c r="F62" s="300"/>
      <c r="G62" s="300"/>
      <c r="H62" s="300"/>
      <c r="I62" s="300"/>
      <c r="J62" s="300"/>
      <c r="K62" s="300"/>
      <c r="L62" s="300"/>
      <c r="M62" s="300"/>
      <c r="N62" s="300"/>
      <c r="O62" s="300"/>
      <c r="P62" s="300"/>
      <c r="Q62" s="301"/>
      <c r="R62" s="302">
        <f>SUM(CashPaidOut26[[#This Row],[Period 0]:[Period 12]])</f>
        <v>0</v>
      </c>
      <c r="S62" s="317"/>
    </row>
    <row r="63" customHeight="1" spans="2:19">
      <c r="B63" s="316" t="s">
        <v>52</v>
      </c>
      <c r="C63" s="297"/>
      <c r="D63" s="300"/>
      <c r="E63" s="300"/>
      <c r="F63" s="300"/>
      <c r="G63" s="300"/>
      <c r="H63" s="300"/>
      <c r="I63" s="300"/>
      <c r="J63" s="300"/>
      <c r="K63" s="300"/>
      <c r="L63" s="300"/>
      <c r="M63" s="300"/>
      <c r="N63" s="300"/>
      <c r="O63" s="300"/>
      <c r="P63" s="300"/>
      <c r="Q63" s="301"/>
      <c r="R63" s="302">
        <f>SUM(CashPaidOut26[[#This Row],[Period 0]:[Period 12]])</f>
        <v>0</v>
      </c>
      <c r="S63" s="317"/>
    </row>
    <row r="64" customHeight="1" spans="2:19">
      <c r="B64" s="314" t="s">
        <v>36</v>
      </c>
      <c r="C64" s="297"/>
      <c r="D64" s="302">
        <f>SUBTOTAL(109,CashPaidOut26[Period 0])</f>
        <v>0</v>
      </c>
      <c r="E64" s="302">
        <f>SUBTOTAL(109,CashPaidOut26[Period 1])</f>
        <v>0</v>
      </c>
      <c r="F64" s="302">
        <f>SUBTOTAL(109,CashPaidOut26[Period 2])</f>
        <v>0</v>
      </c>
      <c r="G64" s="302">
        <f>SUBTOTAL(109,CashPaidOut26[Period 3])</f>
        <v>0</v>
      </c>
      <c r="H64" s="302">
        <f>SUBTOTAL(109,CashPaidOut26[Period 4])</f>
        <v>0</v>
      </c>
      <c r="I64" s="302">
        <f>SUBTOTAL(109,CashPaidOut26[Period 5])</f>
        <v>0</v>
      </c>
      <c r="J64" s="302">
        <f>SUBTOTAL(109,CashPaidOut26[Period 6])</f>
        <v>0</v>
      </c>
      <c r="K64" s="302">
        <f>SUBTOTAL(109,CashPaidOut26[Period 7])</f>
        <v>0</v>
      </c>
      <c r="L64" s="302">
        <f>SUBTOTAL(109,CashPaidOut26[Period 8])</f>
        <v>0</v>
      </c>
      <c r="M64" s="302">
        <f>SUBTOTAL(109,CashPaidOut26[Period 9])</f>
        <v>0</v>
      </c>
      <c r="N64" s="302">
        <f>SUBTOTAL(109,CashPaidOut26[Period 10])</f>
        <v>0</v>
      </c>
      <c r="O64" s="302">
        <f>SUBTOTAL(109,CashPaidOut26[Period 11])</f>
        <v>0</v>
      </c>
      <c r="P64" s="302">
        <f>SUBTOTAL(109,CashPaidOut26[Period 12])</f>
        <v>0</v>
      </c>
      <c r="Q64" s="301"/>
      <c r="R64" s="302">
        <f>SUBTOTAL(109,CashPaidOut26[Total])</f>
        <v>0</v>
      </c>
      <c r="S64" s="274"/>
    </row>
    <row r="65" customHeight="1" spans="2:19">
      <c r="B65" s="309" t="s">
        <v>79</v>
      </c>
      <c r="C65" s="310"/>
      <c r="D65" s="311">
        <f>SUM(CashPaidOut[Period 0],CashPaidOut218[Period 0],CashPaidOut2[Period 0])</f>
        <v>0</v>
      </c>
      <c r="E65" s="311">
        <f>SUM(CashPaidOut[Period 1],CashPaidOut2[Period 1],E19:E23)</f>
        <v>0</v>
      </c>
      <c r="F65" s="311">
        <f>SUM(CashPaidOut[Period 2],CashPaidOut2[Period 2])</f>
        <v>0</v>
      </c>
      <c r="G65" s="311">
        <f>SUM(CashPaidOut[Period 3],CashPaidOut2[Period 3])</f>
        <v>0</v>
      </c>
      <c r="H65" s="311">
        <f>SUM(CashPaidOut[Period 4],CashPaidOut2[Period 4])</f>
        <v>0</v>
      </c>
      <c r="I65" s="311">
        <f>SUM(CashPaidOut[Period 5],CashPaidOut2[Period 5])</f>
        <v>0</v>
      </c>
      <c r="J65" s="311">
        <f>SUM(CashPaidOut[Period 6],CashPaidOut2[Period 6])</f>
        <v>0</v>
      </c>
      <c r="K65" s="311">
        <f>SUM(CashPaidOut[Period 7],CashPaidOut2[Period 7])</f>
        <v>0</v>
      </c>
      <c r="L65" s="311">
        <f>SUM(CashPaidOut[Period 8],CashPaidOut2[Period 8])</f>
        <v>0</v>
      </c>
      <c r="M65" s="311">
        <f>SUM(CashPaidOut[Period 9],CashPaidOut2[Period 9])</f>
        <v>0</v>
      </c>
      <c r="N65" s="311">
        <f>SUM(CashPaidOut[Period 10],CashPaidOut2[Period 10])</f>
        <v>0</v>
      </c>
      <c r="O65" s="311">
        <f>SUM(CashPaidOut[Period 11],CashPaidOut2[Period 11])</f>
        <v>0</v>
      </c>
      <c r="P65" s="311">
        <f>SUM(CashPaidOut[Period 12],CashPaidOut2[Period 12])</f>
        <v>0</v>
      </c>
      <c r="Q65" s="310"/>
      <c r="R65" s="311">
        <f>SUM(CashPaidOut[Total],CashPaidOut2[Total])</f>
        <v>0</v>
      </c>
      <c r="S65" s="323"/>
    </row>
    <row r="66" s="274" customFormat="1" customHeight="1" spans="2:19">
      <c r="B66" s="321"/>
    </row>
    <row r="67" customHeight="1" spans="2:19">
      <c r="B67" s="309" t="s">
        <v>80</v>
      </c>
      <c r="C67" s="310"/>
      <c r="D67" s="311">
        <f t="shared" ref="D67:P67" si="1">D16-D65</f>
        <v>0</v>
      </c>
      <c r="E67" s="311">
        <f t="shared" si="1"/>
        <v>0</v>
      </c>
      <c r="F67" s="311">
        <f t="shared" si="1"/>
        <v>0</v>
      </c>
      <c r="G67" s="311">
        <f t="shared" si="1"/>
        <v>0</v>
      </c>
      <c r="H67" s="311">
        <f t="shared" si="1"/>
        <v>30000</v>
      </c>
      <c r="I67" s="311">
        <f t="shared" si="1"/>
        <v>30000</v>
      </c>
      <c r="J67" s="311">
        <f t="shared" si="1"/>
        <v>30000</v>
      </c>
      <c r="K67" s="311">
        <f t="shared" si="1"/>
        <v>30000</v>
      </c>
      <c r="L67" s="311">
        <f t="shared" si="1"/>
        <v>30000</v>
      </c>
      <c r="M67" s="311">
        <f t="shared" si="1"/>
        <v>30000</v>
      </c>
      <c r="N67" s="311">
        <f t="shared" si="1"/>
        <v>30000</v>
      </c>
      <c r="O67" s="311">
        <f t="shared" si="1"/>
        <v>30000</v>
      </c>
      <c r="P67" s="311">
        <f t="shared" si="1"/>
        <v>30000</v>
      </c>
      <c r="Q67" s="310"/>
      <c r="R67" s="311">
        <f>R16-R65</f>
        <v>60000</v>
      </c>
      <c r="S67" s="323"/>
    </row>
  </sheetData>
  <mergeCells count="2">
    <mergeCell ref="B25:S25"/>
    <mergeCell ref="B66:S66"/>
  </mergeCells>
  <conditionalFormatting sqref="E6:P6">
    <cfRule type="expression" dxfId="90" priority="3">
      <formula>E6&lt;0</formula>
    </cfRule>
  </conditionalFormatting>
  <conditionalFormatting sqref="E16:P16">
    <cfRule type="expression" dxfId="90" priority="1">
      <formula>E16&lt;0</formula>
    </cfRule>
  </conditionalFormatting>
  <conditionalFormatting sqref="E67:P67">
    <cfRule type="expression" dxfId="90" priority="2">
      <formula>E67&lt;0</formula>
    </cfRule>
  </conditionalFormatting>
  <printOptions horizontalCentered="1" verticalCentered="1"/>
  <pageMargins left="0.25" right="0.25" top="0.75" bottom="0.75" header="0.3" footer="0.3"/>
  <pageSetup paperSize="1" scale="72" orientation="landscape"/>
  <headerFooter/>
  <legacy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theme="4" tint="-0.249977111117893"/>
    <pageSetUpPr fitToPage="1" autoPageBreaks="0"/>
  </sheetPr>
  <dimension ref="A1:J81"/>
  <sheetViews>
    <sheetView showGridLines="0" zoomScaleSheetLayoutView="30" topLeftCell="A4" workbookViewId="0">
      <selection activeCell="B3" sqref="B3"/>
    </sheetView>
  </sheetViews>
  <sheetFormatPr defaultColWidth="8.66666666666667" defaultRowHeight="15.2"/>
  <cols>
    <col min="1" max="1" width="1.33333333333333" style="194" customWidth="1"/>
    <col min="2" max="2" width="30.6666666666667" customWidth="1"/>
    <col min="3" max="5" width="20.6666666666667" customWidth="1"/>
    <col min="6" max="6" width="15.6666666666667" customWidth="1"/>
    <col min="7" max="7" width="30.6666666666667" customWidth="1"/>
    <col min="8" max="10" width="20.6666666666667" customWidth="1"/>
    <col min="11" max="11" width="2.66666666666667" customWidth="1"/>
  </cols>
  <sheetData>
    <row r="1" s="192" customFormat="1" ht="20" customHeight="1" spans="1:10">
      <c r="A1" s="195"/>
      <c r="B1" s="196"/>
      <c r="C1" s="196"/>
      <c r="D1" s="196"/>
      <c r="E1" s="196"/>
      <c r="F1" s="196"/>
      <c r="G1" s="196"/>
      <c r="H1" s="196"/>
      <c r="I1" s="196"/>
      <c r="J1" s="196"/>
    </row>
    <row r="2" s="192" customFormat="1" ht="95" customHeight="1" spans="1:10">
      <c r="A2" s="197"/>
      <c r="B2" s="198" t="s">
        <v>81</v>
      </c>
      <c r="I2" s="199"/>
      <c r="J2" s="199"/>
    </row>
    <row r="3" ht="15" customHeight="1" spans="1:10">
      <c r="A3" s="200"/>
    </row>
    <row r="4" ht="30" customHeight="1" spans="1:10">
      <c r="A4" s="200"/>
      <c r="B4" s="201" t="s">
        <v>82</v>
      </c>
      <c r="C4" s="202"/>
      <c r="D4" s="203"/>
      <c r="E4" s="204" t="s">
        <v>83</v>
      </c>
      <c r="H4" s="205" t="s">
        <v>84</v>
      </c>
    </row>
    <row r="5" ht="30" customHeight="1" spans="1:10">
      <c r="A5" s="200"/>
      <c r="B5" s="206" t="s">
        <v>85</v>
      </c>
      <c r="C5" s="207">
        <v>4300</v>
      </c>
      <c r="I5" s="208"/>
    </row>
    <row r="6" ht="30" customHeight="1" spans="1:10">
      <c r="A6" s="200"/>
      <c r="B6" s="209" t="s">
        <v>86</v>
      </c>
      <c r="C6" s="210">
        <v>300</v>
      </c>
      <c r="E6" s="211" t="s">
        <v>87</v>
      </c>
      <c r="H6" s="212">
        <f>C12-J75</f>
        <v>3064</v>
      </c>
      <c r="I6" s="208"/>
    </row>
    <row r="7" ht="30" customHeight="1" spans="1:10">
      <c r="A7" s="200"/>
      <c r="B7" s="213" t="s">
        <v>88</v>
      </c>
      <c r="C7" s="214">
        <f>SUM(C5:C6)</f>
        <v>4600</v>
      </c>
      <c r="I7" s="208"/>
    </row>
    <row r="8" ht="30" customHeight="1" spans="1:10">
      <c r="A8" s="200"/>
      <c r="E8" s="215" t="s">
        <v>89</v>
      </c>
      <c r="H8" s="216" t="e">
        <f>H6-H4</f>
        <v>#VALUE!</v>
      </c>
      <c r="I8" s="208"/>
    </row>
    <row r="9" ht="30" customHeight="1" spans="1:10">
      <c r="A9" s="200"/>
      <c r="B9" s="201" t="s">
        <v>90</v>
      </c>
      <c r="C9" s="202"/>
      <c r="D9" s="203"/>
      <c r="I9" s="217"/>
    </row>
    <row r="10" ht="30" customHeight="1" spans="1:10">
      <c r="A10" s="200"/>
      <c r="B10" s="209" t="s">
        <v>85</v>
      </c>
      <c r="C10" s="210">
        <v>4000</v>
      </c>
      <c r="I10" s="208"/>
    </row>
    <row r="11" ht="30" customHeight="1" spans="1:10">
      <c r="A11" s="200"/>
      <c r="B11" s="218" t="s">
        <v>86</v>
      </c>
      <c r="C11" s="219">
        <v>300</v>
      </c>
      <c r="E11" s="208"/>
      <c r="H11" s="220"/>
      <c r="I11" s="208"/>
    </row>
    <row r="12" ht="30" customHeight="1" spans="1:10">
      <c r="A12" s="200"/>
      <c r="B12" s="213" t="s">
        <v>91</v>
      </c>
      <c r="C12" s="214">
        <f>SUM(C10:C11)</f>
        <v>4300</v>
      </c>
    </row>
    <row r="13" ht="38" customHeight="1" spans="1:10">
      <c r="A13" s="200"/>
      <c r="B13" s="221"/>
      <c r="C13" s="222"/>
    </row>
    <row r="14" s="193" customFormat="1" ht="30" customHeight="1" spans="1:10">
      <c r="A14" s="223"/>
      <c r="B14" s="224" t="s">
        <v>92</v>
      </c>
      <c r="C14" s="225"/>
      <c r="D14" s="226"/>
      <c r="E14" s="226"/>
      <c r="G14" s="227" t="s">
        <v>93</v>
      </c>
      <c r="H14" s="225"/>
      <c r="I14" s="225"/>
      <c r="J14" s="225"/>
    </row>
    <row r="15" ht="48" customHeight="1" spans="1:10">
      <c r="A15" s="200"/>
      <c r="B15" s="228" t="s">
        <v>94</v>
      </c>
      <c r="C15" s="229" t="s">
        <v>95</v>
      </c>
      <c r="D15" s="229" t="s">
        <v>96</v>
      </c>
      <c r="E15" s="230" t="s">
        <v>97</v>
      </c>
      <c r="F15" s="231"/>
      <c r="G15" s="232" t="s">
        <v>94</v>
      </c>
      <c r="H15" s="233" t="s">
        <v>95</v>
      </c>
      <c r="I15" s="233" t="s">
        <v>96</v>
      </c>
      <c r="J15" s="234" t="s">
        <v>97</v>
      </c>
    </row>
    <row r="16" ht="30" customHeight="1" spans="1:10">
      <c r="A16" s="200"/>
      <c r="B16" s="235" t="s">
        <v>98</v>
      </c>
      <c r="C16" s="236">
        <v>1000</v>
      </c>
      <c r="D16" s="236">
        <v>1000</v>
      </c>
      <c r="E16" s="236">
        <f>住房[[#This Row],[预计
费用]]-住房[[#This Row],[实际
费用]]</f>
        <v>0</v>
      </c>
      <c r="F16" s="231"/>
      <c r="G16" s="237" t="s">
        <v>99</v>
      </c>
      <c r="H16" s="238"/>
      <c r="I16" s="238"/>
      <c r="J16" s="238">
        <f>娱乐[[#This Row],[预计
费用]]-娱乐[[#This Row],[实际
费用]]</f>
        <v>0</v>
      </c>
    </row>
    <row r="17" ht="30" customHeight="1" spans="1:10">
      <c r="A17" s="200"/>
      <c r="B17" s="235" t="s">
        <v>74</v>
      </c>
      <c r="C17" s="236">
        <v>54</v>
      </c>
      <c r="D17" s="236">
        <v>100</v>
      </c>
      <c r="E17" s="236">
        <f>住房[[#This Row],[预计
费用]]-住房[[#This Row],[实际
费用]]</f>
        <v>-46</v>
      </c>
      <c r="F17" s="231"/>
      <c r="G17" s="237" t="s">
        <v>100</v>
      </c>
      <c r="H17" s="238"/>
      <c r="I17" s="238"/>
      <c r="J17" s="238">
        <f>娱乐[[#This Row],[预计
费用]]-娱乐[[#This Row],[实际
费用]]</f>
        <v>0</v>
      </c>
    </row>
    <row r="18" ht="30" customHeight="1" spans="1:10">
      <c r="A18" s="200"/>
      <c r="B18" s="235" t="s">
        <v>101</v>
      </c>
      <c r="C18" s="236">
        <v>44</v>
      </c>
      <c r="D18" s="236">
        <v>56</v>
      </c>
      <c r="E18" s="236">
        <f>住房[[#This Row],[预计
费用]]-住房[[#This Row],[实际
费用]]</f>
        <v>-12</v>
      </c>
      <c r="F18" s="231"/>
      <c r="G18" s="237" t="s">
        <v>102</v>
      </c>
      <c r="H18" s="238"/>
      <c r="I18" s="238"/>
      <c r="J18" s="238">
        <f>娱乐[[#This Row],[预计
费用]]-娱乐[[#This Row],[实际
费用]]</f>
        <v>0</v>
      </c>
    </row>
    <row r="19" ht="30" customHeight="1" spans="1:10">
      <c r="A19" s="200"/>
      <c r="B19" s="235" t="s">
        <v>103</v>
      </c>
      <c r="C19" s="236">
        <v>22</v>
      </c>
      <c r="D19" s="236">
        <v>28</v>
      </c>
      <c r="E19" s="236">
        <f>住房[[#This Row],[预计
费用]]-住房[[#This Row],[实际
费用]]</f>
        <v>-6</v>
      </c>
      <c r="F19" s="231"/>
      <c r="G19" s="237" t="s">
        <v>104</v>
      </c>
      <c r="H19" s="238"/>
      <c r="I19" s="238"/>
      <c r="J19" s="238">
        <f>娱乐[[#This Row],[预计
费用]]-娱乐[[#This Row],[实际
费用]]</f>
        <v>0</v>
      </c>
    </row>
    <row r="20" ht="30" customHeight="1" spans="1:10">
      <c r="A20" s="200"/>
      <c r="B20" s="235" t="s">
        <v>105</v>
      </c>
      <c r="C20" s="236">
        <v>8</v>
      </c>
      <c r="D20" s="236">
        <v>8</v>
      </c>
      <c r="E20" s="236">
        <f>住房[[#This Row],[预计
费用]]-住房[[#This Row],[实际
费用]]</f>
        <v>0</v>
      </c>
      <c r="F20" s="231"/>
      <c r="G20" s="237" t="s">
        <v>106</v>
      </c>
      <c r="H20" s="238"/>
      <c r="I20" s="238"/>
      <c r="J20" s="238">
        <f>娱乐[[#This Row],[预计
费用]]-娱乐[[#This Row],[实际
费用]]</f>
        <v>0</v>
      </c>
    </row>
    <row r="21" ht="30" customHeight="1" spans="1:10">
      <c r="A21" s="200"/>
      <c r="B21" s="235" t="s">
        <v>107</v>
      </c>
      <c r="C21" s="236">
        <v>34</v>
      </c>
      <c r="D21" s="236">
        <v>34</v>
      </c>
      <c r="E21" s="236">
        <f>住房[[#This Row],[预计
费用]]-住房[[#This Row],[实际
费用]]</f>
        <v>0</v>
      </c>
      <c r="F21" s="231"/>
      <c r="G21" s="237" t="s">
        <v>108</v>
      </c>
      <c r="H21" s="238"/>
      <c r="I21" s="238"/>
      <c r="J21" s="238">
        <f>娱乐[[#This Row],[预计
费用]]-娱乐[[#This Row],[实际
费用]]</f>
        <v>0</v>
      </c>
    </row>
    <row r="22" ht="30" customHeight="1" spans="1:10">
      <c r="A22" s="200"/>
      <c r="B22" s="235" t="s">
        <v>109</v>
      </c>
      <c r="C22" s="236">
        <v>10</v>
      </c>
      <c r="D22" s="236">
        <v>10</v>
      </c>
      <c r="E22" s="236">
        <f>住房[[#This Row],[预计
费用]]-住房[[#This Row],[实际
费用]]</f>
        <v>0</v>
      </c>
      <c r="F22" s="231"/>
      <c r="G22" s="237" t="s">
        <v>110</v>
      </c>
      <c r="H22" s="238"/>
      <c r="I22" s="238"/>
      <c r="J22" s="238">
        <f>娱乐[[#This Row],[预计
费用]]-娱乐[[#This Row],[实际
费用]]</f>
        <v>0</v>
      </c>
    </row>
    <row r="23" ht="30" customHeight="1" spans="1:10">
      <c r="A23" s="200"/>
      <c r="B23" s="235" t="s">
        <v>111</v>
      </c>
      <c r="C23" s="236">
        <v>23</v>
      </c>
      <c r="D23" s="236">
        <v>0</v>
      </c>
      <c r="E23" s="236">
        <f>住房[[#This Row],[预计
费用]]-住房[[#This Row],[实际
费用]]</f>
        <v>23</v>
      </c>
      <c r="F23" s="231"/>
      <c r="G23" s="237" t="s">
        <v>110</v>
      </c>
      <c r="H23" s="238"/>
      <c r="I23" s="238"/>
      <c r="J23" s="238">
        <f>娱乐[[#This Row],[预计
费用]]-娱乐[[#This Row],[实际
费用]]</f>
        <v>0</v>
      </c>
    </row>
    <row r="24" ht="30" customHeight="1" spans="1:10">
      <c r="A24" s="200"/>
      <c r="B24" s="235" t="s">
        <v>112</v>
      </c>
      <c r="C24" s="236">
        <v>0</v>
      </c>
      <c r="D24" s="236">
        <v>0</v>
      </c>
      <c r="E24" s="236">
        <f>住房[[#This Row],[预计
费用]]-住房[[#This Row],[实际
费用]]</f>
        <v>0</v>
      </c>
      <c r="F24" s="231"/>
      <c r="G24" s="237" t="s">
        <v>110</v>
      </c>
      <c r="H24" s="238"/>
      <c r="I24" s="238"/>
      <c r="J24" s="238">
        <f>娱乐[[#This Row],[预计
费用]]-娱乐[[#This Row],[实际
费用]]</f>
        <v>0</v>
      </c>
    </row>
    <row r="25" ht="30" customHeight="1" spans="1:10">
      <c r="A25" s="200"/>
      <c r="B25" s="235" t="s">
        <v>110</v>
      </c>
      <c r="C25" s="236">
        <v>0</v>
      </c>
      <c r="D25" s="236">
        <v>0</v>
      </c>
      <c r="E25" s="236">
        <f>住房[[#This Row],[预计
费用]]-住房[[#This Row],[实际
费用]]</f>
        <v>0</v>
      </c>
      <c r="F25" s="231"/>
      <c r="G25" s="239" t="s">
        <v>113</v>
      </c>
      <c r="H25" s="240"/>
      <c r="I25" s="240"/>
      <c r="J25" s="241">
        <f>SUBTOTAL(109,娱乐[差额])</f>
        <v>0</v>
      </c>
    </row>
    <row r="26" ht="30" customHeight="1" spans="1:10">
      <c r="A26" s="200"/>
      <c r="B26" s="242" t="s">
        <v>113</v>
      </c>
      <c r="C26" s="243"/>
      <c r="D26" s="243"/>
      <c r="E26" s="236">
        <f>SUBTOTAL(109,住房[差额])</f>
        <v>-41</v>
      </c>
      <c r="F26" s="231"/>
      <c r="G26" s="244"/>
      <c r="H26" s="244"/>
      <c r="I26" s="244"/>
      <c r="J26" s="244"/>
    </row>
    <row r="27" ht="38" customHeight="1" spans="1:10">
      <c r="A27" s="200"/>
      <c r="B27" s="245"/>
      <c r="C27" s="246"/>
      <c r="D27" s="246"/>
      <c r="E27" s="246"/>
      <c r="F27" s="231"/>
      <c r="G27" s="244"/>
      <c r="H27" s="244"/>
      <c r="I27" s="244"/>
      <c r="J27" s="244"/>
    </row>
    <row r="28" s="193" customFormat="1" ht="30" customHeight="1" spans="1:10">
      <c r="A28" s="200"/>
      <c r="B28" s="247" t="s">
        <v>114</v>
      </c>
      <c r="F28" s="231"/>
      <c r="G28" s="227" t="s">
        <v>115</v>
      </c>
    </row>
    <row r="29" ht="48" customHeight="1" spans="1:10">
      <c r="A29" s="200"/>
      <c r="B29" s="248" t="s">
        <v>94</v>
      </c>
      <c r="C29" s="233" t="s">
        <v>95</v>
      </c>
      <c r="D29" s="233" t="s">
        <v>96</v>
      </c>
      <c r="E29" s="234" t="s">
        <v>97</v>
      </c>
      <c r="F29" s="231"/>
      <c r="G29" s="249" t="s">
        <v>94</v>
      </c>
      <c r="H29" s="233" t="s">
        <v>95</v>
      </c>
      <c r="I29" s="233" t="s">
        <v>96</v>
      </c>
      <c r="J29" s="234" t="s">
        <v>97</v>
      </c>
    </row>
    <row r="30" ht="30" customHeight="1" spans="1:10">
      <c r="A30" s="200"/>
      <c r="B30" s="237" t="s">
        <v>116</v>
      </c>
      <c r="C30" s="238"/>
      <c r="D30" s="238"/>
      <c r="E30" s="238">
        <f>交通[[#This Row],[预计
费用]]-交通[[#This Row],[实际
费用]]</f>
        <v>0</v>
      </c>
      <c r="F30" s="231"/>
      <c r="G30" s="237" t="s">
        <v>117</v>
      </c>
      <c r="H30" s="238"/>
      <c r="I30" s="238"/>
      <c r="J30" s="238">
        <f>贷款[[#This Row],[预计
费用]]-贷款[[#This Row],[实际
费用]]</f>
        <v>0</v>
      </c>
    </row>
    <row r="31" ht="30" customHeight="1" spans="1:10">
      <c r="A31" s="200"/>
      <c r="B31" s="237" t="s">
        <v>118</v>
      </c>
      <c r="C31" s="238"/>
      <c r="D31" s="238"/>
      <c r="E31" s="238">
        <f>交通[[#This Row],[预计
费用]]-交通[[#This Row],[实际
费用]]</f>
        <v>0</v>
      </c>
      <c r="F31" s="231"/>
      <c r="G31" s="237" t="s">
        <v>119</v>
      </c>
      <c r="H31" s="238"/>
      <c r="I31" s="238"/>
      <c r="J31" s="238">
        <f>贷款[[#This Row],[预计
费用]]-贷款[[#This Row],[实际
费用]]</f>
        <v>0</v>
      </c>
    </row>
    <row r="32" ht="30" customHeight="1" spans="1:10">
      <c r="A32" s="200"/>
      <c r="B32" s="237" t="s">
        <v>120</v>
      </c>
      <c r="C32" s="238"/>
      <c r="D32" s="238"/>
      <c r="E32" s="238">
        <f>交通[[#This Row],[预计
费用]]-交通[[#This Row],[实际
费用]]</f>
        <v>0</v>
      </c>
      <c r="F32" s="231"/>
      <c r="G32" s="237" t="s">
        <v>55</v>
      </c>
      <c r="H32" s="238"/>
      <c r="I32" s="238"/>
      <c r="J32" s="238">
        <f>贷款[[#This Row],[预计
费用]]-贷款[[#This Row],[实际
费用]]</f>
        <v>0</v>
      </c>
    </row>
    <row r="33" ht="30" customHeight="1" spans="1:10">
      <c r="A33" s="200"/>
      <c r="B33" s="237" t="s">
        <v>121</v>
      </c>
      <c r="C33" s="238"/>
      <c r="D33" s="238"/>
      <c r="E33" s="238">
        <f>交通[[#This Row],[预计
费用]]-交通[[#This Row],[实际
费用]]</f>
        <v>0</v>
      </c>
      <c r="F33" s="231"/>
      <c r="G33" s="237" t="s">
        <v>55</v>
      </c>
      <c r="H33" s="238"/>
      <c r="I33" s="238"/>
      <c r="J33" s="238">
        <f>贷款[[#This Row],[预计
费用]]-贷款[[#This Row],[实际
费用]]</f>
        <v>0</v>
      </c>
    </row>
    <row r="34" ht="30" customHeight="1" spans="1:10">
      <c r="A34" s="200"/>
      <c r="B34" s="237" t="s">
        <v>122</v>
      </c>
      <c r="C34" s="238"/>
      <c r="D34" s="238"/>
      <c r="E34" s="238">
        <f>交通[[#This Row],[预计
费用]]-交通[[#This Row],[实际
费用]]</f>
        <v>0</v>
      </c>
      <c r="F34" s="231"/>
      <c r="G34" s="237" t="s">
        <v>55</v>
      </c>
      <c r="H34" s="238"/>
      <c r="I34" s="238"/>
      <c r="J34" s="238">
        <f>贷款[[#This Row],[预计
费用]]-贷款[[#This Row],[实际
费用]]</f>
        <v>0</v>
      </c>
    </row>
    <row r="35" ht="30" customHeight="1" spans="1:10">
      <c r="A35" s="200"/>
      <c r="B35" s="237" t="s">
        <v>123</v>
      </c>
      <c r="C35" s="238"/>
      <c r="D35" s="238"/>
      <c r="E35" s="238">
        <f>交通[[#This Row],[预计
费用]]-交通[[#This Row],[实际
费用]]</f>
        <v>0</v>
      </c>
      <c r="F35" s="231"/>
      <c r="G35" s="237" t="s">
        <v>110</v>
      </c>
      <c r="H35" s="238"/>
      <c r="I35" s="238"/>
      <c r="J35" s="238">
        <f>贷款[[#This Row],[预计
费用]]-贷款[[#This Row],[实际
费用]]</f>
        <v>0</v>
      </c>
    </row>
    <row r="36" ht="30" customHeight="1" spans="1:10">
      <c r="A36" s="200"/>
      <c r="B36" s="237" t="s">
        <v>110</v>
      </c>
      <c r="C36" s="238"/>
      <c r="D36" s="238"/>
      <c r="E36" s="238">
        <f>交通[[#This Row],[预计
费用]]-交通[[#This Row],[实际
费用]]</f>
        <v>0</v>
      </c>
      <c r="F36" s="231"/>
      <c r="G36" s="239" t="s">
        <v>113</v>
      </c>
      <c r="H36" s="250"/>
      <c r="I36" s="250"/>
      <c r="J36" s="241">
        <f>SUBTOTAL(109,贷款[差额])</f>
        <v>0</v>
      </c>
    </row>
    <row r="37" ht="30" customHeight="1" spans="1:10">
      <c r="A37" s="200"/>
      <c r="B37" s="239" t="s">
        <v>113</v>
      </c>
      <c r="C37" s="250"/>
      <c r="D37" s="250"/>
      <c r="E37" s="241">
        <f>SUBTOTAL(109,交通[差额])</f>
        <v>0</v>
      </c>
      <c r="F37" s="231"/>
      <c r="G37" s="245"/>
      <c r="H37" s="251"/>
      <c r="I37" s="251"/>
      <c r="J37" s="251"/>
    </row>
    <row r="38" ht="38" customHeight="1" spans="1:10">
      <c r="A38" s="200"/>
      <c r="B38" s="252"/>
      <c r="C38" s="253"/>
      <c r="D38" s="253"/>
      <c r="E38" s="246"/>
      <c r="F38" s="231"/>
      <c r="G38" s="244"/>
    </row>
    <row r="39" s="193" customFormat="1" ht="30" customHeight="1" spans="1:10">
      <c r="A39" s="200"/>
      <c r="B39" s="227" t="s">
        <v>120</v>
      </c>
      <c r="F39" s="231"/>
      <c r="G39" s="227" t="s">
        <v>124</v>
      </c>
    </row>
    <row r="40" ht="48" customHeight="1" spans="1:10">
      <c r="A40" s="200"/>
      <c r="B40" s="249" t="s">
        <v>94</v>
      </c>
      <c r="C40" s="233" t="s">
        <v>95</v>
      </c>
      <c r="D40" s="233" t="s">
        <v>96</v>
      </c>
      <c r="E40" s="234" t="s">
        <v>97</v>
      </c>
      <c r="F40" s="231"/>
      <c r="G40" s="232" t="s">
        <v>94</v>
      </c>
      <c r="H40" s="233" t="s">
        <v>95</v>
      </c>
      <c r="I40" s="233" t="s">
        <v>96</v>
      </c>
      <c r="J40" s="234" t="s">
        <v>97</v>
      </c>
    </row>
    <row r="41" ht="30" customHeight="1" spans="1:10">
      <c r="A41" s="200"/>
      <c r="B41" s="237" t="s">
        <v>125</v>
      </c>
      <c r="C41" s="238"/>
      <c r="D41" s="238"/>
      <c r="E41" s="238">
        <f>保险[[#This Row],[预计
费用]]-保险[[#This Row],[实际
费用]]</f>
        <v>0</v>
      </c>
      <c r="F41" s="231"/>
      <c r="G41" s="237" t="s">
        <v>126</v>
      </c>
      <c r="H41" s="238"/>
      <c r="I41" s="238"/>
      <c r="J41" s="238">
        <f>税款[[#This Row],[预计
费用]]-税款[[#This Row],[实际
费用]]</f>
        <v>0</v>
      </c>
    </row>
    <row r="42" ht="30" customHeight="1" spans="1:10">
      <c r="A42" s="200"/>
      <c r="B42" s="237" t="s">
        <v>127</v>
      </c>
      <c r="C42" s="238"/>
      <c r="D42" s="238"/>
      <c r="E42" s="238">
        <f>保险[[#This Row],[预计
费用]]-保险[[#This Row],[实际
费用]]</f>
        <v>0</v>
      </c>
      <c r="F42" s="231"/>
      <c r="G42" s="237" t="s">
        <v>128</v>
      </c>
      <c r="H42" s="238"/>
      <c r="I42" s="238"/>
      <c r="J42" s="238">
        <f>税款[[#This Row],[预计
费用]]-税款[[#This Row],[实际
费用]]</f>
        <v>0</v>
      </c>
    </row>
    <row r="43" ht="30" customHeight="1" spans="1:10">
      <c r="A43" s="200"/>
      <c r="B43" s="237" t="s">
        <v>129</v>
      </c>
      <c r="C43" s="238"/>
      <c r="D43" s="238"/>
      <c r="E43" s="238">
        <f>保险[[#This Row],[预计
费用]]-保险[[#This Row],[实际
费用]]</f>
        <v>0</v>
      </c>
      <c r="F43" s="231"/>
      <c r="G43" s="237" t="s">
        <v>130</v>
      </c>
      <c r="H43" s="238"/>
      <c r="I43" s="238"/>
      <c r="J43" s="238">
        <f>税款[[#This Row],[预计
费用]]-税款[[#This Row],[实际
费用]]</f>
        <v>0</v>
      </c>
    </row>
    <row r="44" ht="30" customHeight="1" spans="1:10">
      <c r="A44" s="200"/>
      <c r="B44" s="237" t="s">
        <v>110</v>
      </c>
      <c r="C44" s="238"/>
      <c r="D44" s="238"/>
      <c r="E44" s="238">
        <f>保险[[#This Row],[预计
费用]]-保险[[#This Row],[实际
费用]]</f>
        <v>0</v>
      </c>
      <c r="F44" s="231"/>
      <c r="G44" s="237" t="s">
        <v>110</v>
      </c>
      <c r="H44" s="238"/>
      <c r="I44" s="238"/>
      <c r="J44" s="238">
        <f>税款[[#This Row],[预计
费用]]-税款[[#This Row],[实际
费用]]</f>
        <v>0</v>
      </c>
    </row>
    <row r="45" ht="30" customHeight="1" spans="1:10">
      <c r="A45" s="200"/>
      <c r="B45" s="239" t="s">
        <v>113</v>
      </c>
      <c r="C45" s="254"/>
      <c r="D45" s="254"/>
      <c r="E45" s="241">
        <f>SUBTOTAL(109,保险[差额])</f>
        <v>0</v>
      </c>
      <c r="F45" s="231"/>
      <c r="G45" s="239" t="s">
        <v>113</v>
      </c>
      <c r="H45" s="250"/>
      <c r="I45" s="250"/>
      <c r="J45" s="241">
        <f>SUBTOTAL(109,税款[差额])</f>
        <v>0</v>
      </c>
    </row>
    <row r="46" ht="38" customHeight="1" spans="1:10">
      <c r="A46" s="200"/>
      <c r="B46" s="255"/>
      <c r="C46" s="256"/>
      <c r="D46" s="256"/>
      <c r="E46" s="238"/>
      <c r="F46" s="231"/>
      <c r="G46" s="244"/>
      <c r="H46" s="244"/>
      <c r="I46" s="244"/>
      <c r="J46" s="244"/>
    </row>
    <row r="47" s="193" customFormat="1" ht="30" customHeight="1" spans="1:10">
      <c r="A47" s="200"/>
      <c r="B47" s="247" t="s">
        <v>131</v>
      </c>
      <c r="F47" s="231"/>
      <c r="G47" s="227" t="s">
        <v>132</v>
      </c>
    </row>
    <row r="48" ht="50" customHeight="1" spans="1:10">
      <c r="A48" s="200"/>
      <c r="B48" s="257" t="s">
        <v>94</v>
      </c>
      <c r="C48" s="233" t="s">
        <v>95</v>
      </c>
      <c r="D48" s="233" t="s">
        <v>96</v>
      </c>
      <c r="E48" s="234" t="s">
        <v>97</v>
      </c>
      <c r="F48" s="231"/>
      <c r="G48" s="232" t="s">
        <v>94</v>
      </c>
      <c r="H48" s="233" t="s">
        <v>95</v>
      </c>
      <c r="I48" s="233" t="s">
        <v>96</v>
      </c>
      <c r="J48" s="234" t="s">
        <v>97</v>
      </c>
    </row>
    <row r="49" ht="30" customHeight="1" spans="1:10">
      <c r="A49" s="200"/>
      <c r="B49" s="237" t="s">
        <v>133</v>
      </c>
      <c r="C49" s="238"/>
      <c r="D49" s="238"/>
      <c r="E49" s="238">
        <f>食品[[#This Row],[预计
费用]]-食品[[#This Row],[实际
费用]]</f>
        <v>0</v>
      </c>
      <c r="F49" s="231"/>
      <c r="G49" s="237" t="s">
        <v>134</v>
      </c>
      <c r="H49" s="238"/>
      <c r="I49" s="238"/>
      <c r="J49" s="238">
        <f>存款[[#This Row],[预计
费用]]-存款[[#This Row],[实际
费用]]</f>
        <v>0</v>
      </c>
    </row>
    <row r="50" ht="30" customHeight="1" spans="1:10">
      <c r="A50" s="200"/>
      <c r="B50" s="237" t="s">
        <v>135</v>
      </c>
      <c r="C50" s="238"/>
      <c r="D50" s="238"/>
      <c r="E50" s="238">
        <f>食品[[#This Row],[预计
费用]]-食品[[#This Row],[实际
费用]]</f>
        <v>0</v>
      </c>
      <c r="F50" s="231"/>
      <c r="G50" s="237" t="s">
        <v>136</v>
      </c>
      <c r="H50" s="238"/>
      <c r="I50" s="238"/>
      <c r="J50" s="238">
        <f>存款[[#This Row],[预计
费用]]-存款[[#This Row],[实际
费用]]</f>
        <v>0</v>
      </c>
    </row>
    <row r="51" ht="30" customHeight="1" spans="1:10">
      <c r="A51" s="200"/>
      <c r="B51" s="237" t="s">
        <v>110</v>
      </c>
      <c r="C51" s="238"/>
      <c r="D51" s="238"/>
      <c r="E51" s="238">
        <f>食品[[#This Row],[预计
费用]]-食品[[#This Row],[实际
费用]]</f>
        <v>0</v>
      </c>
      <c r="F51" s="231"/>
      <c r="G51" s="237" t="s">
        <v>110</v>
      </c>
      <c r="H51" s="238"/>
      <c r="I51" s="238"/>
      <c r="J51" s="238">
        <f>存款[[#This Row],[预计
费用]]-存款[[#This Row],[实际
费用]]</f>
        <v>0</v>
      </c>
    </row>
    <row r="52" ht="30" customHeight="1" spans="1:10">
      <c r="A52" s="200"/>
      <c r="B52" s="239" t="s">
        <v>113</v>
      </c>
      <c r="C52" s="254"/>
      <c r="D52" s="254"/>
      <c r="E52" s="241">
        <f>SUBTOTAL(109,食品[差额])</f>
        <v>0</v>
      </c>
      <c r="F52" s="231"/>
      <c r="G52" s="239" t="s">
        <v>113</v>
      </c>
      <c r="H52" s="250"/>
      <c r="I52" s="250"/>
      <c r="J52" s="241">
        <f>SUBTOTAL(109,存款[差额])</f>
        <v>0</v>
      </c>
    </row>
    <row r="53" ht="38" customHeight="1" spans="1:10">
      <c r="A53" s="200"/>
      <c r="B53" s="258"/>
      <c r="C53" s="251"/>
      <c r="D53" s="251"/>
      <c r="E53" s="251"/>
      <c r="F53" s="231"/>
      <c r="G53" s="259"/>
      <c r="H53" s="260"/>
      <c r="I53" s="260"/>
      <c r="J53" s="260"/>
    </row>
    <row r="54" s="193" customFormat="1" ht="30" customHeight="1" spans="1:10">
      <c r="A54" s="200"/>
      <c r="B54" s="247" t="s">
        <v>64</v>
      </c>
      <c r="F54" s="231"/>
      <c r="G54" s="227" t="s">
        <v>137</v>
      </c>
    </row>
    <row r="55" ht="48" customHeight="1" spans="1:10">
      <c r="A55" s="200"/>
      <c r="B55" s="261" t="s">
        <v>94</v>
      </c>
      <c r="C55" s="233" t="s">
        <v>95</v>
      </c>
      <c r="D55" s="233" t="s">
        <v>96</v>
      </c>
      <c r="E55" s="234" t="s">
        <v>97</v>
      </c>
      <c r="F55" s="231"/>
      <c r="G55" s="249" t="s">
        <v>94</v>
      </c>
      <c r="H55" s="233" t="s">
        <v>95</v>
      </c>
      <c r="I55" s="233" t="s">
        <v>96</v>
      </c>
      <c r="J55" s="234" t="s">
        <v>97</v>
      </c>
    </row>
    <row r="56" ht="30" customHeight="1" spans="1:10">
      <c r="A56" s="200"/>
      <c r="B56" s="237" t="s">
        <v>131</v>
      </c>
      <c r="C56" s="238"/>
      <c r="D56" s="238"/>
      <c r="E56" s="238">
        <f>宠物[[#This Row],[预计
费用]]-宠物[[#This Row],[实际
费用]]</f>
        <v>0</v>
      </c>
      <c r="F56" s="231"/>
      <c r="G56" s="237" t="s">
        <v>138</v>
      </c>
      <c r="H56" s="238"/>
      <c r="I56" s="238"/>
      <c r="J56" s="238">
        <f>礼品[[#This Row],[预计
费用]]-礼品[[#This Row],[实际
费用]]</f>
        <v>0</v>
      </c>
    </row>
    <row r="57" ht="30" customHeight="1" spans="1:10">
      <c r="A57" s="200"/>
      <c r="B57" s="237" t="s">
        <v>139</v>
      </c>
      <c r="C57" s="238"/>
      <c r="D57" s="238"/>
      <c r="E57" s="238">
        <f>宠物[[#This Row],[预计
费用]]-宠物[[#This Row],[实际
费用]]</f>
        <v>0</v>
      </c>
      <c r="F57" s="231"/>
      <c r="G57" s="237" t="s">
        <v>140</v>
      </c>
      <c r="H57" s="238"/>
      <c r="I57" s="238"/>
      <c r="J57" s="238">
        <f>礼品[[#This Row],[预计
费用]]-礼品[[#This Row],[实际
费用]]</f>
        <v>0</v>
      </c>
    </row>
    <row r="58" ht="30" customHeight="1" spans="1:10">
      <c r="A58" s="200"/>
      <c r="B58" s="237" t="s">
        <v>141</v>
      </c>
      <c r="C58" s="238"/>
      <c r="D58" s="238"/>
      <c r="E58" s="238">
        <f>宠物[[#This Row],[预计
费用]]-宠物[[#This Row],[实际
费用]]</f>
        <v>0</v>
      </c>
      <c r="F58" s="231"/>
      <c r="G58" s="237" t="s">
        <v>142</v>
      </c>
      <c r="H58" s="238"/>
      <c r="I58" s="238"/>
      <c r="J58" s="238">
        <f>礼品[[#This Row],[预计
费用]]-礼品[[#This Row],[实际
费用]]</f>
        <v>0</v>
      </c>
    </row>
    <row r="59" ht="30" customHeight="1" spans="1:10">
      <c r="A59" s="200"/>
      <c r="B59" s="237" t="s">
        <v>143</v>
      </c>
      <c r="C59" s="238"/>
      <c r="D59" s="238"/>
      <c r="E59" s="238">
        <f>宠物[[#This Row],[预计
费用]]-宠物[[#This Row],[实际
费用]]</f>
        <v>0</v>
      </c>
      <c r="F59" s="231"/>
      <c r="G59" s="239" t="s">
        <v>113</v>
      </c>
      <c r="H59" s="254"/>
      <c r="I59" s="254"/>
      <c r="J59" s="241">
        <f>SUBTOTAL(109,礼品[差额])</f>
        <v>0</v>
      </c>
    </row>
    <row r="60" ht="30" customHeight="1" spans="1:10">
      <c r="A60" s="200"/>
      <c r="B60" s="237" t="s">
        <v>110</v>
      </c>
      <c r="C60" s="238"/>
      <c r="D60" s="238"/>
      <c r="E60" s="238">
        <f>宠物[[#This Row],[预计
费用]]-宠物[[#This Row],[实际
费用]]</f>
        <v>0</v>
      </c>
      <c r="F60" s="231"/>
      <c r="G60" s="245"/>
      <c r="H60" s="253"/>
      <c r="I60" s="253"/>
      <c r="J60" s="246"/>
    </row>
    <row r="61" ht="30" customHeight="1" spans="1:10">
      <c r="A61" s="200"/>
      <c r="B61" s="239" t="s">
        <v>113</v>
      </c>
      <c r="C61" s="262"/>
      <c r="D61" s="262"/>
      <c r="E61" s="262">
        <f>SUBTOTAL(109,宠物[差额])</f>
        <v>0</v>
      </c>
      <c r="F61" s="231"/>
      <c r="G61" s="245"/>
      <c r="H61" s="253"/>
      <c r="I61" s="253"/>
      <c r="J61" s="246"/>
    </row>
    <row r="62" ht="38" customHeight="1" spans="1:10">
      <c r="A62" s="200"/>
      <c r="B62" s="252"/>
      <c r="C62" s="263"/>
      <c r="D62" s="263"/>
      <c r="E62" s="263"/>
      <c r="F62" s="231"/>
      <c r="G62" s="264"/>
      <c r="H62" s="253"/>
      <c r="I62" s="253"/>
      <c r="J62" s="253"/>
    </row>
    <row r="63" s="193" customFormat="1" ht="30" customHeight="1" spans="1:10">
      <c r="A63" s="200"/>
      <c r="B63" s="265" t="s">
        <v>144</v>
      </c>
      <c r="F63" s="231"/>
      <c r="G63" s="247" t="s">
        <v>145</v>
      </c>
    </row>
    <row r="64" ht="48" customHeight="1" spans="1:10">
      <c r="A64" s="200"/>
      <c r="B64" s="232" t="s">
        <v>94</v>
      </c>
      <c r="C64" s="233" t="s">
        <v>95</v>
      </c>
      <c r="D64" s="233" t="s">
        <v>96</v>
      </c>
      <c r="E64" s="234" t="s">
        <v>97</v>
      </c>
      <c r="F64" s="231"/>
      <c r="G64" s="266" t="s">
        <v>145</v>
      </c>
      <c r="H64" s="233" t="s">
        <v>95</v>
      </c>
      <c r="I64" s="233" t="s">
        <v>96</v>
      </c>
      <c r="J64" s="234" t="s">
        <v>97</v>
      </c>
    </row>
    <row r="65" ht="30" customHeight="1" spans="1:10">
      <c r="A65" s="200"/>
      <c r="B65" s="237" t="s">
        <v>139</v>
      </c>
      <c r="C65" s="238"/>
      <c r="D65" s="238"/>
      <c r="E65" s="238">
        <f>个人护理[[#This Row],[预计
费用]]-个人护理[[#This Row],[实际
费用]]</f>
        <v>0</v>
      </c>
      <c r="F65" s="231"/>
      <c r="G65" s="237" t="s">
        <v>146</v>
      </c>
      <c r="H65" s="238"/>
      <c r="I65" s="238"/>
      <c r="J65" s="238">
        <f>法务[[#This Row],[预计
费用]]-法务[[#This Row],[实际
费用]]</f>
        <v>0</v>
      </c>
    </row>
    <row r="66" ht="30" customHeight="1" spans="1:10">
      <c r="A66" s="200"/>
      <c r="B66" s="237" t="s">
        <v>147</v>
      </c>
      <c r="C66" s="238"/>
      <c r="D66" s="238"/>
      <c r="E66" s="238">
        <f>个人护理[[#This Row],[预计
费用]]-个人护理[[#This Row],[实际
费用]]</f>
        <v>0</v>
      </c>
      <c r="F66" s="231"/>
      <c r="G66" s="237" t="s">
        <v>148</v>
      </c>
      <c r="H66" s="238"/>
      <c r="I66" s="238"/>
      <c r="J66" s="238">
        <f>法务[[#This Row],[预计
费用]]-法务[[#This Row],[实际
费用]]</f>
        <v>0</v>
      </c>
    </row>
    <row r="67" ht="30" customHeight="1" spans="1:10">
      <c r="A67" s="200"/>
      <c r="B67" s="237" t="s">
        <v>149</v>
      </c>
      <c r="C67" s="238"/>
      <c r="D67" s="238"/>
      <c r="E67" s="238">
        <f>个人护理[[#This Row],[预计
费用]]-个人护理[[#This Row],[实际
费用]]</f>
        <v>0</v>
      </c>
      <c r="F67" s="231"/>
      <c r="G67" s="237" t="s">
        <v>150</v>
      </c>
      <c r="H67" s="238"/>
      <c r="I67" s="238"/>
      <c r="J67" s="238">
        <f>法务[[#This Row],[预计
费用]]-法务[[#This Row],[实际
费用]]</f>
        <v>0</v>
      </c>
    </row>
    <row r="68" ht="30" customHeight="1" spans="1:10">
      <c r="A68" s="200"/>
      <c r="B68" s="237" t="s">
        <v>151</v>
      </c>
      <c r="C68" s="238"/>
      <c r="D68" s="238"/>
      <c r="E68" s="238">
        <f>个人护理[[#This Row],[预计
费用]]-个人护理[[#This Row],[实际
费用]]</f>
        <v>0</v>
      </c>
      <c r="F68" s="231"/>
      <c r="G68" s="237" t="s">
        <v>110</v>
      </c>
      <c r="H68" s="238"/>
      <c r="I68" s="238"/>
      <c r="J68" s="238">
        <f>法务[[#This Row],[预计
费用]]-法务[[#This Row],[实际
费用]]</f>
        <v>0</v>
      </c>
    </row>
    <row r="69" ht="30" customHeight="1" spans="1:10">
      <c r="A69" s="200"/>
      <c r="B69" s="237" t="s">
        <v>152</v>
      </c>
      <c r="C69" s="238"/>
      <c r="D69" s="238"/>
      <c r="E69" s="238">
        <f>个人护理[[#This Row],[预计
费用]]-个人护理[[#This Row],[实际
费用]]</f>
        <v>0</v>
      </c>
      <c r="F69" s="231"/>
      <c r="G69" s="239" t="s">
        <v>113</v>
      </c>
      <c r="H69" s="254"/>
      <c r="I69" s="254"/>
      <c r="J69" s="241">
        <f>SUBTOTAL(109,法务[差额])</f>
        <v>0</v>
      </c>
    </row>
    <row r="70" ht="30" customHeight="1" spans="1:10">
      <c r="A70" s="200"/>
      <c r="B70" s="237" t="s">
        <v>153</v>
      </c>
      <c r="C70" s="238"/>
      <c r="D70" s="238"/>
      <c r="E70" s="238">
        <f>个人护理[[#This Row],[预计
费用]]-个人护理[[#This Row],[实际
费用]]</f>
        <v>0</v>
      </c>
      <c r="F70" s="231"/>
      <c r="G70" s="244"/>
      <c r="H70" s="244"/>
      <c r="I70" s="244"/>
      <c r="J70" s="244"/>
    </row>
    <row r="71" ht="30" customHeight="1" spans="1:10">
      <c r="A71" s="200"/>
      <c r="B71" s="237" t="s">
        <v>110</v>
      </c>
      <c r="C71" s="238"/>
      <c r="D71" s="238"/>
      <c r="E71" s="238">
        <f>个人护理[[#This Row],[预计
费用]]-个人护理[[#This Row],[实际
费用]]</f>
        <v>0</v>
      </c>
      <c r="F71" s="231"/>
      <c r="G71" s="244"/>
      <c r="H71" s="244"/>
      <c r="I71" s="244"/>
      <c r="J71" s="244"/>
    </row>
    <row r="72" ht="30" customHeight="1" spans="1:10">
      <c r="A72" s="200"/>
      <c r="B72" s="239" t="s">
        <v>113</v>
      </c>
      <c r="C72" s="254"/>
      <c r="D72" s="254"/>
      <c r="E72" s="241">
        <f>SUBTOTAL(109,个人护理[差额])</f>
        <v>0</v>
      </c>
      <c r="F72" s="231"/>
      <c r="G72" s="244"/>
      <c r="H72" s="244"/>
      <c r="I72" s="244"/>
      <c r="J72" s="244"/>
    </row>
    <row r="73" ht="30" customHeight="1" spans="1:10">
      <c r="A73" s="200"/>
      <c r="B73" s="267"/>
      <c r="C73" s="267"/>
      <c r="D73" s="267"/>
      <c r="E73" s="267"/>
      <c r="F73" s="231"/>
      <c r="G73" s="268" t="s">
        <v>154</v>
      </c>
      <c r="J73" s="269">
        <f>SUBTOTAL(109,住房[预计
费用],交通[预计
费用],保险[预计
费用],食品[预计
费用],宠物[预计
费用],个人护理[预计
费用],娱乐[预计
费用],贷款[预计
费用],税款[预计
费用],存款[预计
费用],礼品[预计
费用],法务[预计
费用])</f>
        <v>1195</v>
      </c>
    </row>
    <row r="74" ht="30" customHeight="1" spans="1:10">
      <c r="A74" s="200"/>
      <c r="F74" s="231"/>
    </row>
    <row r="75" ht="30" customHeight="1" spans="1:10">
      <c r="A75" s="200"/>
      <c r="F75" s="231"/>
      <c r="G75" s="270" t="s">
        <v>155</v>
      </c>
      <c r="J75" s="271">
        <f>SUBTOTAL(109,住房[实际
费用],交通[实际
费用],保险[实际
费用],食品[实际
费用],宠物[实际
费用],个人护理[实际
费用],娱乐[实际
费用],贷款[实际
费用],税款[实际
费用],存款[实际
费用],礼品[实际
费用],法务[实际
费用])</f>
        <v>1236</v>
      </c>
    </row>
    <row r="76" ht="30" customHeight="1" spans="1:10">
      <c r="A76" s="200"/>
      <c r="F76" s="231"/>
    </row>
    <row r="77" ht="25" customHeight="1" spans="1:10">
      <c r="A77" s="200"/>
      <c r="F77" s="231"/>
      <c r="G77" s="272" t="s">
        <v>156</v>
      </c>
      <c r="J77" s="273">
        <f>J73-J75</f>
        <v>-41</v>
      </c>
    </row>
    <row r="78" ht="25" customHeight="1" spans="1:10">
      <c r="A78" s="200"/>
      <c r="F78" s="231"/>
    </row>
    <row r="79" ht="25" customHeight="1" spans="1:10">
      <c r="A79" s="200"/>
      <c r="F79" s="231"/>
    </row>
    <row r="80" ht="25" customHeight="1" spans="1:10">
      <c r="A80" s="200"/>
      <c r="F80" s="231"/>
    </row>
    <row r="81" ht="25" customHeight="1" spans="1:6">
      <c r="A81" s="200"/>
      <c r="F81" s="231"/>
    </row>
  </sheetData>
  <mergeCells count="26">
    <mergeCell ref="B2:H2"/>
    <mergeCell ref="B4:C4"/>
    <mergeCell ref="B9:C9"/>
    <mergeCell ref="B28:E28"/>
    <mergeCell ref="G28:J28"/>
    <mergeCell ref="G38:J38"/>
    <mergeCell ref="B39:E39"/>
    <mergeCell ref="G39:J39"/>
    <mergeCell ref="B47:E47"/>
    <mergeCell ref="G47:J47"/>
    <mergeCell ref="B54:E54"/>
    <mergeCell ref="G54:J54"/>
    <mergeCell ref="B63:E63"/>
    <mergeCell ref="G63:J63"/>
    <mergeCell ref="H4:H5"/>
    <mergeCell ref="H6:H7"/>
    <mergeCell ref="H8:H9"/>
    <mergeCell ref="J73:J74"/>
    <mergeCell ref="J75:J76"/>
    <mergeCell ref="J77:J78"/>
    <mergeCell ref="G75:I76"/>
    <mergeCell ref="G77:I78"/>
    <mergeCell ref="E8:G9"/>
    <mergeCell ref="E4:G5"/>
    <mergeCell ref="E6:G7"/>
    <mergeCell ref="G73:I74"/>
  </mergeCells>
  <dataValidations count="12">
    <dataValidation allowBlank="1" showInputMessage="1" showErrorMessage="1" prompt="在此工作表中创建个人月度预算。有关如何使用此工作表的帮助说明位于此列的单元格中。箭头向下以开始入门。" sqref="A1"/>
    <dataValidation allowBlank="1" showInputMessage="1" showErrorMessage="1" prompt="此工作表的标题位于单元格 B2 中。下一条指示位于单元格 A4 中。" sqref="A2"/>
    <dataValidation allowBlank="1" showInputMessage="1" showErrorMessage="1" prompt="预计每月收入标签位于右侧单元格中。分别在单元格 C5 和 C6 中输入收入 1 和额外收入，用于计算 C7 中的每月总收入。下一条指示位于单元格 A7 中。" sqref="A4"/>
    <dataValidation allowBlank="1" showInputMessage="1" showErrorMessage="1" prompt="预计余额、实际余额和差额分别在单元格 H4、H6 和 H8 中自动进行计算。下一条指示位于单元格 A9 中。" sqref="A7"/>
    <dataValidation allowBlank="1" showInputMessage="1" showErrorMessage="1" prompt="实际每月收入标签位于右侧单元格中。分别在单元格 C10 和 C11 中中输入收入 1 和额外收入，用于计算 C12 中的每月总收入。下一条指示位于单元格 A15 中。" sqref="A9"/>
    <dataValidation allowBlank="1" showInputMessage="1" showErrorMessage="1" prompt="在“住房”表中从右侧单元格开始输入详细信息，在“娱乐”表中从单元格 G15 开始输入详细信息。下一条指示位于单元格 A29 中。" sqref="A15"/>
    <dataValidation allowBlank="1" showInputMessage="1" showErrorMessage="1" prompt="在“交通”表中从右侧单元格开始输入详细信息，在“贷款”表中从单元格 G29 开始输入详细信息。下一条指示位于单元格 A40 中。" sqref="A29"/>
    <dataValidation allowBlank="1" showInputMessage="1" showErrorMessage="1" prompt="在“保险”表中从右侧单元格开始输入详细信息，在“税款”表中从单元格 G40 开始输入详细信息。下一条指示位于单元格 A48 中。" sqref="A40"/>
    <dataValidation allowBlank="1" showInputMessage="1" showErrorMessage="1" prompt="在“食品”表中从右侧单元格开始输入详细信息，在“存款”表中从单元格 G48 开始输入详细信息。下一条指示位于单元格 A55 中。" sqref="A48"/>
    <dataValidation allowBlank="1" showInputMessage="1" showErrorMessage="1" prompt="在“宠物”表中从右侧单元格开始输入详细信息，在“礼品”表中从单元格 G54 开始输入详细信息。下一条指示位于单元格 A64 中。" sqref="A55"/>
    <dataValidation allowBlank="1" showInputMessage="1" showErrorMessage="1" prompt="在“个人护理”表中从右侧单元格开始输入详细信息，在“法务”表中从单元格 G64 开始输入详细信息。下一条指示位于单元格 A73 中。" sqref="A64"/>
    <dataValidation allowBlank="1" showInputMessage="1" showErrorMessage="1" prompt="总预计支出、总实际支出和总差额分别在单元格 J73、J75 和 J77 中自动进行计算。" sqref="A73"/>
  </dataValidations>
  <printOptions horizontalCentered="1"/>
  <pageMargins left="0.4" right="0.4" top="0.4" bottom="0.4" header="0.3" footer="0.5"/>
  <pageSetup paperSize="9" fitToHeight="0" orientation="portrait"/>
  <headerFooter differentFirst="1">
    <oddFooter>&amp;CPage &amp;P of &amp;N</oddFooter>
  </headerFooter>
  <drawing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showGridLines="0" topLeftCell="A26" workbookViewId="0">
      <selection activeCell="F40" sqref="F40"/>
    </sheetView>
  </sheetViews>
  <sheetFormatPr defaultColWidth="10.1666666666667" defaultRowHeight="15.2"/>
  <cols>
    <col min="1" max="1" width="4.16666666666667" style="127" customWidth="1"/>
    <col min="2" max="2" width="3.16666666666667" style="127" customWidth="1"/>
    <col min="3" max="3" width="7.66666666666667" style="127" customWidth="1"/>
    <col min="4" max="4" width="7.66666666666667" style="159" customWidth="1"/>
    <col min="5" max="5" width="25.1666666666667" style="159" customWidth="1"/>
    <col min="6" max="6" width="13.1666666666667" style="160" customWidth="1"/>
    <col min="7" max="7" width="13.1666666666667" style="161" customWidth="1"/>
    <col min="8" max="9" width="8.66666666666667" style="160" customWidth="1"/>
    <col min="10" max="10" width="3.16666666666667" style="127" customWidth="1"/>
    <col min="11" max="11" width="2" style="127" customWidth="1"/>
    <col min="12" max="16384" width="10.1666666666667" style="127" customWidth="1"/>
  </cols>
  <sheetData>
    <row r="1" ht="100.25" customHeight="1" spans="1:11">
      <c r="A1" s="162"/>
      <c r="B1" s="163"/>
      <c r="C1" s="163"/>
      <c r="D1" s="164"/>
      <c r="E1" s="164"/>
      <c r="F1" s="165"/>
      <c r="G1" s="166"/>
      <c r="H1" s="165"/>
      <c r="I1" s="165"/>
      <c r="J1" s="163"/>
    </row>
    <row r="2" ht="35" customHeight="1" spans="1:11">
      <c r="A2" s="162"/>
      <c r="B2" s="163"/>
      <c r="C2" s="167" t="s">
        <v>157</v>
      </c>
      <c r="K2" s="127" t="s">
        <v>62</v>
      </c>
    </row>
    <row r="3" ht="50" customHeight="1" spans="1:11">
      <c r="A3" s="162"/>
      <c r="B3" s="163"/>
      <c r="C3" s="168" t="s">
        <v>158</v>
      </c>
      <c r="J3" s="163"/>
    </row>
    <row r="4" ht="30" customHeight="1" spans="1:11">
      <c r="A4" s="162"/>
      <c r="B4" s="163"/>
      <c r="C4" s="163"/>
      <c r="D4" s="163"/>
      <c r="E4" s="163"/>
      <c r="F4" s="163"/>
      <c r="G4" s="163"/>
      <c r="H4" s="163"/>
      <c r="I4" s="163"/>
      <c r="J4" s="163"/>
    </row>
    <row r="5" s="157" customFormat="1" ht="35" customHeight="1" spans="1:11">
      <c r="A5" s="169"/>
      <c r="B5" s="170"/>
      <c r="C5" s="171" t="s">
        <v>3</v>
      </c>
      <c r="D5" s="172"/>
      <c r="E5" s="172"/>
      <c r="F5" s="173"/>
      <c r="G5" s="174"/>
      <c r="H5" s="173"/>
      <c r="I5" s="173"/>
      <c r="J5" s="175"/>
    </row>
    <row r="6" ht="18" customHeight="1" spans="1:11">
      <c r="A6" s="162"/>
      <c r="B6" s="163"/>
      <c r="C6" s="163"/>
      <c r="D6" s="164"/>
      <c r="E6" s="164"/>
      <c r="F6" s="165"/>
      <c r="G6" s="166"/>
      <c r="H6" s="165"/>
      <c r="I6" s="165"/>
      <c r="J6" s="163"/>
    </row>
    <row r="7" s="158" customFormat="1" ht="18" customHeight="1" spans="1:11">
      <c r="A7" s="176"/>
      <c r="B7" s="177"/>
      <c r="C7" s="177"/>
      <c r="D7" s="178" t="s">
        <v>159</v>
      </c>
      <c r="E7" s="178"/>
      <c r="F7" s="179"/>
      <c r="G7" s="180"/>
      <c r="H7" s="181"/>
      <c r="I7" s="181"/>
      <c r="J7" s="177"/>
    </row>
    <row r="8" s="158" customFormat="1" ht="18" customHeight="1" spans="1:11">
      <c r="A8" s="176"/>
      <c r="B8" s="177"/>
      <c r="C8" s="177"/>
      <c r="D8" s="182" t="s">
        <v>160</v>
      </c>
      <c r="E8" s="183" t="s">
        <v>161</v>
      </c>
      <c r="F8" s="179"/>
      <c r="G8" s="180"/>
      <c r="H8" s="181"/>
      <c r="I8" s="181"/>
      <c r="J8" s="177"/>
    </row>
    <row r="9" s="158" customFormat="1" ht="18" customHeight="1" spans="1:11">
      <c r="A9" s="176"/>
      <c r="B9" s="177"/>
      <c r="C9" s="177"/>
      <c r="D9" s="178"/>
      <c r="E9" s="184" t="s">
        <v>162</v>
      </c>
      <c r="F9" s="179"/>
      <c r="G9" s="185">
        <f>F7-F8</f>
        <v>0</v>
      </c>
      <c r="H9" s="186"/>
      <c r="I9" s="186"/>
      <c r="J9" s="177"/>
    </row>
    <row r="10" ht="18" customHeight="1" spans="1:11">
      <c r="A10" s="162"/>
      <c r="B10" s="163"/>
      <c r="C10" s="163"/>
      <c r="D10" s="164"/>
      <c r="E10" s="164"/>
      <c r="F10" s="165"/>
      <c r="G10" s="166"/>
      <c r="H10" s="165"/>
      <c r="I10" s="165"/>
      <c r="J10" s="163"/>
    </row>
    <row r="11" s="157" customFormat="1" ht="35" customHeight="1" spans="1:11">
      <c r="A11" s="169"/>
      <c r="B11" s="170"/>
      <c r="C11" s="171" t="s">
        <v>163</v>
      </c>
      <c r="D11" s="172"/>
      <c r="E11" s="172"/>
      <c r="F11" s="173"/>
      <c r="G11" s="174"/>
      <c r="H11" s="173"/>
      <c r="I11" s="173"/>
      <c r="J11" s="175"/>
    </row>
    <row r="12" ht="18" customHeight="1" spans="1:11">
      <c r="A12" s="162"/>
      <c r="B12" s="163"/>
      <c r="C12" s="163"/>
      <c r="D12" s="164"/>
      <c r="E12" s="164"/>
      <c r="F12" s="165"/>
      <c r="G12" s="166"/>
      <c r="H12" s="165"/>
      <c r="I12" s="165"/>
      <c r="J12" s="163"/>
    </row>
    <row r="13" ht="18" customHeight="1" spans="1:11">
      <c r="A13" s="162"/>
      <c r="B13" s="163"/>
      <c r="C13" s="163"/>
      <c r="D13" s="164" t="s">
        <v>164</v>
      </c>
      <c r="E13" s="164"/>
      <c r="F13" s="187"/>
      <c r="G13" s="166"/>
      <c r="H13" s="165"/>
      <c r="I13" s="165"/>
      <c r="J13" s="163"/>
    </row>
    <row r="14" ht="18" customHeight="1" spans="1:11">
      <c r="A14" s="162"/>
      <c r="B14" s="163"/>
      <c r="C14" s="163"/>
      <c r="D14" s="188" t="s">
        <v>165</v>
      </c>
      <c r="E14" s="164" t="s">
        <v>166</v>
      </c>
      <c r="F14" s="187"/>
      <c r="G14" s="166"/>
      <c r="H14" s="165"/>
      <c r="I14" s="165"/>
      <c r="J14" s="163"/>
    </row>
    <row r="15" ht="18" customHeight="1" spans="1:11">
      <c r="A15" s="162"/>
      <c r="B15" s="163"/>
      <c r="C15" s="163"/>
      <c r="D15" s="164"/>
      <c r="E15" s="164" t="s">
        <v>167</v>
      </c>
      <c r="F15" s="187"/>
      <c r="G15" s="166"/>
      <c r="H15" s="165"/>
      <c r="I15" s="165"/>
      <c r="J15" s="163"/>
    </row>
    <row r="16" ht="18" customHeight="1" spans="1:11">
      <c r="A16" s="162"/>
      <c r="B16" s="163"/>
      <c r="C16" s="163"/>
      <c r="D16" s="164"/>
      <c r="E16" s="164" t="s">
        <v>168</v>
      </c>
      <c r="F16" s="187"/>
      <c r="G16" s="166"/>
      <c r="H16" s="165"/>
      <c r="I16" s="165"/>
      <c r="J16" s="163"/>
    </row>
    <row r="17" s="158" customFormat="1" ht="18" customHeight="1" spans="1:10">
      <c r="A17" s="176"/>
      <c r="B17" s="177"/>
      <c r="C17" s="177"/>
      <c r="D17" s="178"/>
      <c r="E17" s="184" t="s">
        <v>169</v>
      </c>
      <c r="F17" s="179"/>
      <c r="G17" s="185">
        <f>SUM(F13:F17)</f>
        <v>0</v>
      </c>
      <c r="H17" s="186"/>
      <c r="I17" s="186"/>
      <c r="J17" s="177"/>
    </row>
    <row r="18" ht="18" customHeight="1" spans="1:10">
      <c r="A18" s="162"/>
      <c r="B18" s="163"/>
      <c r="C18" s="163"/>
      <c r="D18" s="164"/>
      <c r="E18" s="164"/>
      <c r="F18" s="189"/>
      <c r="G18" s="166"/>
      <c r="H18" s="165"/>
      <c r="I18" s="165"/>
      <c r="J18" s="163"/>
    </row>
    <row r="19" ht="18" customHeight="1" spans="1:10">
      <c r="A19" s="162"/>
      <c r="B19" s="163"/>
      <c r="C19" s="163"/>
      <c r="D19" s="188" t="s">
        <v>170</v>
      </c>
      <c r="E19" s="164" t="s">
        <v>171</v>
      </c>
      <c r="F19" s="187"/>
      <c r="G19" s="166"/>
      <c r="H19" s="165"/>
      <c r="I19" s="165"/>
      <c r="J19" s="163"/>
    </row>
    <row r="20" s="158" customFormat="1" ht="18" customHeight="1" spans="1:10">
      <c r="A20" s="176"/>
      <c r="B20" s="177"/>
      <c r="C20" s="177"/>
      <c r="D20" s="178"/>
      <c r="E20" s="184" t="s">
        <v>163</v>
      </c>
      <c r="F20" s="179"/>
      <c r="G20" s="185">
        <f>G17-F19</f>
        <v>0</v>
      </c>
      <c r="H20" s="186"/>
      <c r="I20" s="186"/>
      <c r="J20" s="177"/>
    </row>
    <row r="21" ht="18" customHeight="1" spans="1:10">
      <c r="A21" s="162"/>
      <c r="B21" s="163"/>
      <c r="C21" s="163"/>
      <c r="D21" s="164"/>
      <c r="E21" s="190"/>
      <c r="F21" s="189"/>
      <c r="G21" s="166"/>
      <c r="H21" s="165"/>
      <c r="I21" s="165"/>
      <c r="J21" s="163"/>
    </row>
    <row r="22" s="158" customFormat="1" ht="18" customHeight="1" spans="1:10">
      <c r="A22" s="176"/>
      <c r="B22" s="177"/>
      <c r="C22" s="177"/>
      <c r="D22" s="178"/>
      <c r="E22" s="184" t="s">
        <v>172</v>
      </c>
      <c r="F22" s="179"/>
      <c r="G22" s="185">
        <f>G9-G20</f>
        <v>0</v>
      </c>
      <c r="H22" s="186"/>
      <c r="I22" s="186"/>
      <c r="J22" s="177"/>
    </row>
    <row r="23" ht="18" customHeight="1" spans="1:10">
      <c r="A23" s="162"/>
      <c r="B23" s="163"/>
      <c r="C23" s="163"/>
      <c r="D23" s="164"/>
      <c r="E23" s="164"/>
      <c r="F23" s="165"/>
      <c r="G23" s="166"/>
      <c r="H23" s="165"/>
      <c r="I23" s="165"/>
      <c r="J23" s="163"/>
    </row>
    <row r="24" s="157" customFormat="1" ht="35" customHeight="1" spans="1:10">
      <c r="A24" s="169"/>
      <c r="B24" s="170"/>
      <c r="C24" s="171" t="s">
        <v>4</v>
      </c>
      <c r="D24" s="172"/>
      <c r="E24" s="172"/>
      <c r="F24" s="173"/>
      <c r="G24" s="174"/>
      <c r="H24" s="173"/>
      <c r="I24" s="173"/>
      <c r="J24" s="175"/>
    </row>
    <row r="25" ht="18" customHeight="1" spans="1:10">
      <c r="A25" s="162"/>
      <c r="B25" s="163"/>
      <c r="C25" s="163"/>
      <c r="D25" s="164"/>
      <c r="E25" s="164"/>
      <c r="F25" s="165"/>
      <c r="G25" s="166"/>
      <c r="H25" s="165"/>
      <c r="I25" s="165"/>
      <c r="J25" s="163"/>
    </row>
    <row r="26" ht="18" customHeight="1" spans="1:10">
      <c r="A26" s="162"/>
      <c r="B26" s="163"/>
      <c r="C26" s="163"/>
      <c r="D26" s="164" t="s">
        <v>173</v>
      </c>
      <c r="E26" s="164"/>
      <c r="F26" s="187"/>
      <c r="G26" s="166"/>
      <c r="H26" s="165"/>
      <c r="I26" s="165"/>
      <c r="J26" s="163"/>
    </row>
    <row r="27" ht="18" customHeight="1" spans="1:10">
      <c r="A27" s="162"/>
      <c r="B27" s="163"/>
      <c r="C27" s="163"/>
      <c r="D27" s="164" t="s">
        <v>174</v>
      </c>
      <c r="E27" s="164"/>
      <c r="F27" s="187">
        <v>0</v>
      </c>
      <c r="G27" s="166"/>
      <c r="H27" s="165"/>
      <c r="I27" s="165"/>
      <c r="J27" s="163"/>
    </row>
    <row r="28" ht="18" customHeight="1" spans="1:10">
      <c r="A28" s="162"/>
      <c r="B28" s="163"/>
      <c r="C28" s="163"/>
      <c r="D28" s="164" t="s">
        <v>175</v>
      </c>
      <c r="E28" s="164"/>
      <c r="F28" s="187">
        <v>0</v>
      </c>
      <c r="G28" s="166"/>
      <c r="H28" s="165"/>
      <c r="I28" s="165"/>
      <c r="J28" s="163"/>
    </row>
    <row r="29" ht="18" customHeight="1" spans="1:10">
      <c r="A29" s="162"/>
      <c r="B29" s="163"/>
      <c r="C29" s="163"/>
      <c r="D29" s="164" t="s">
        <v>176</v>
      </c>
      <c r="E29" s="164"/>
      <c r="F29" s="187">
        <v>0</v>
      </c>
      <c r="G29" s="166"/>
      <c r="H29" s="165"/>
      <c r="I29" s="165"/>
      <c r="J29" s="163"/>
    </row>
    <row r="30" ht="18" customHeight="1" spans="1:10">
      <c r="A30" s="162"/>
      <c r="B30" s="163"/>
      <c r="C30" s="163"/>
      <c r="D30" s="164" t="s">
        <v>177</v>
      </c>
      <c r="E30" s="164"/>
      <c r="F30" s="187">
        <v>0</v>
      </c>
      <c r="G30" s="166"/>
      <c r="H30" s="165"/>
      <c r="I30" s="165"/>
      <c r="J30" s="163"/>
    </row>
    <row r="31" ht="18" customHeight="1" spans="1:10">
      <c r="A31" s="162"/>
      <c r="B31" s="163"/>
      <c r="C31" s="163"/>
      <c r="D31" s="164" t="s">
        <v>112</v>
      </c>
      <c r="E31" s="164"/>
      <c r="F31" s="187">
        <v>0</v>
      </c>
      <c r="G31" s="166"/>
      <c r="H31" s="165"/>
      <c r="I31" s="165"/>
      <c r="J31" s="163"/>
    </row>
    <row r="32" ht="18" customHeight="1" spans="1:10">
      <c r="A32" s="162"/>
      <c r="B32" s="163"/>
      <c r="C32" s="163"/>
      <c r="D32" s="164" t="s">
        <v>178</v>
      </c>
      <c r="E32" s="164"/>
      <c r="F32" s="187">
        <v>0</v>
      </c>
      <c r="G32" s="166"/>
      <c r="H32" s="165"/>
      <c r="I32" s="165"/>
      <c r="J32" s="163"/>
    </row>
    <row r="33" ht="18" customHeight="1" spans="1:10">
      <c r="A33" s="162"/>
      <c r="B33" s="163"/>
      <c r="C33" s="163"/>
      <c r="D33" s="164" t="s">
        <v>179</v>
      </c>
      <c r="E33" s="164"/>
      <c r="F33" s="187">
        <v>0</v>
      </c>
      <c r="G33" s="166"/>
      <c r="H33" s="165"/>
      <c r="I33" s="165"/>
      <c r="J33" s="163"/>
    </row>
    <row r="34" ht="18" customHeight="1" spans="1:10">
      <c r="A34" s="162"/>
      <c r="B34" s="163"/>
      <c r="C34" s="163"/>
      <c r="D34" s="164" t="s">
        <v>180</v>
      </c>
      <c r="E34" s="164"/>
      <c r="F34" s="187">
        <v>0</v>
      </c>
      <c r="G34" s="166"/>
      <c r="H34" s="165"/>
      <c r="I34" s="165"/>
      <c r="J34" s="163"/>
    </row>
    <row r="35" ht="18" customHeight="1" spans="1:10">
      <c r="A35" s="162"/>
      <c r="B35" s="163"/>
      <c r="C35" s="163"/>
      <c r="D35" s="164" t="s">
        <v>71</v>
      </c>
      <c r="E35" s="164"/>
      <c r="F35" s="187">
        <v>0</v>
      </c>
      <c r="G35" s="166"/>
      <c r="H35" s="165"/>
      <c r="I35" s="165"/>
      <c r="J35" s="163"/>
    </row>
    <row r="36" ht="18" customHeight="1" spans="1:10">
      <c r="A36" s="162"/>
      <c r="B36" s="163"/>
      <c r="C36" s="163"/>
      <c r="D36" s="164" t="s">
        <v>181</v>
      </c>
      <c r="E36" s="164"/>
      <c r="F36" s="187">
        <v>0</v>
      </c>
      <c r="G36" s="166"/>
      <c r="H36" s="165"/>
      <c r="I36" s="165"/>
      <c r="J36" s="163"/>
    </row>
    <row r="37" ht="18" customHeight="1" spans="1:10">
      <c r="A37" s="162"/>
      <c r="B37" s="163"/>
      <c r="C37" s="163"/>
      <c r="D37" s="164" t="s">
        <v>70</v>
      </c>
      <c r="E37" s="164"/>
      <c r="F37" s="187">
        <v>0</v>
      </c>
      <c r="G37" s="166"/>
      <c r="H37" s="165"/>
      <c r="I37" s="165"/>
      <c r="J37" s="163"/>
    </row>
    <row r="38" s="158" customFormat="1" ht="18" customHeight="1" spans="1:10">
      <c r="A38" s="176"/>
      <c r="B38" s="177"/>
      <c r="C38" s="177"/>
      <c r="D38" s="178"/>
      <c r="E38" s="184" t="s">
        <v>182</v>
      </c>
      <c r="F38" s="179"/>
      <c r="G38" s="185">
        <f>SUM(F26:F38)</f>
        <v>0</v>
      </c>
      <c r="H38" s="186"/>
      <c r="I38" s="186"/>
      <c r="J38" s="177"/>
    </row>
    <row r="39" ht="18" customHeight="1" spans="1:10">
      <c r="A39" s="162"/>
      <c r="B39" s="163"/>
      <c r="C39" s="163"/>
      <c r="D39" s="164"/>
      <c r="E39" s="190"/>
      <c r="F39" s="189"/>
      <c r="G39" s="166"/>
      <c r="H39" s="165"/>
      <c r="I39" s="165"/>
      <c r="J39" s="163"/>
    </row>
    <row r="40" s="158" customFormat="1" ht="18" customHeight="1" spans="1:10">
      <c r="A40" s="176"/>
      <c r="B40" s="177"/>
      <c r="C40" s="177"/>
      <c r="D40" s="178"/>
      <c r="E40" s="184" t="s">
        <v>183</v>
      </c>
      <c r="F40" s="179"/>
      <c r="G40" s="185">
        <f>G22-G38</f>
        <v>0</v>
      </c>
      <c r="H40" s="186"/>
      <c r="I40" s="186"/>
      <c r="J40" s="177"/>
    </row>
    <row r="41" ht="18" customHeight="1" spans="1:10">
      <c r="A41" s="162"/>
      <c r="B41" s="163"/>
      <c r="C41" s="163"/>
      <c r="D41" s="164"/>
      <c r="E41" s="164"/>
      <c r="F41" s="165"/>
      <c r="G41" s="166"/>
      <c r="H41" s="165"/>
      <c r="I41" s="165"/>
      <c r="J41" s="163"/>
    </row>
    <row r="42" s="157" customFormat="1" ht="35" customHeight="1" spans="1:10">
      <c r="A42" s="169"/>
      <c r="B42" s="170"/>
      <c r="C42" s="171" t="s">
        <v>184</v>
      </c>
      <c r="D42" s="172"/>
      <c r="E42" s="172"/>
      <c r="F42" s="173"/>
      <c r="G42" s="174"/>
      <c r="H42" s="173"/>
      <c r="I42" s="173"/>
      <c r="J42" s="175"/>
    </row>
    <row r="43" ht="18" customHeight="1" spans="1:10">
      <c r="A43" s="162"/>
      <c r="B43" s="163"/>
      <c r="C43" s="163"/>
      <c r="D43" s="164"/>
      <c r="E43" s="164"/>
      <c r="F43" s="165"/>
      <c r="G43" s="166"/>
      <c r="H43" s="165"/>
      <c r="I43" s="165"/>
      <c r="J43" s="163"/>
    </row>
    <row r="44" ht="18" customHeight="1" spans="1:10">
      <c r="A44" s="162"/>
      <c r="B44" s="163"/>
      <c r="C44" s="163"/>
      <c r="D44" s="164" t="s">
        <v>185</v>
      </c>
      <c r="E44" s="164"/>
      <c r="F44" s="187"/>
      <c r="G44" s="166"/>
      <c r="H44" s="165"/>
      <c r="I44" s="165"/>
      <c r="J44" s="163"/>
    </row>
    <row r="45" ht="18" customHeight="1" spans="1:10">
      <c r="A45" s="162"/>
      <c r="B45" s="163"/>
      <c r="C45" s="163"/>
      <c r="D45" s="164" t="s">
        <v>186</v>
      </c>
      <c r="E45" s="164"/>
      <c r="F45" s="187"/>
      <c r="G45" s="166"/>
      <c r="H45" s="165"/>
      <c r="I45" s="165"/>
      <c r="J45" s="163"/>
    </row>
    <row r="46" s="158" customFormat="1" ht="18" customHeight="1" spans="1:10">
      <c r="A46" s="176"/>
      <c r="B46" s="177"/>
      <c r="C46" s="177"/>
      <c r="D46" s="178"/>
      <c r="E46" s="184" t="s">
        <v>187</v>
      </c>
      <c r="F46" s="181"/>
      <c r="G46" s="185">
        <f>SUM(F44:F46)</f>
        <v>0</v>
      </c>
      <c r="H46" s="186"/>
      <c r="I46" s="186"/>
      <c r="J46" s="177"/>
    </row>
    <row r="47" ht="18" customHeight="1" spans="1:10">
      <c r="A47" s="162"/>
      <c r="B47" s="163"/>
      <c r="C47" s="163"/>
      <c r="D47" s="164"/>
      <c r="E47" s="190"/>
      <c r="F47" s="165"/>
      <c r="G47" s="166"/>
      <c r="H47" s="165"/>
      <c r="I47" s="165"/>
      <c r="J47" s="163"/>
    </row>
    <row r="48" s="158" customFormat="1" ht="18" customHeight="1" spans="1:10">
      <c r="A48" s="176"/>
      <c r="B48" s="177"/>
      <c r="C48" s="177"/>
      <c r="D48" s="178"/>
      <c r="E48" s="184" t="s">
        <v>188</v>
      </c>
      <c r="F48" s="181"/>
      <c r="G48" s="191">
        <f>G40+G46</f>
        <v>0</v>
      </c>
      <c r="H48" s="186"/>
      <c r="I48" s="186"/>
      <c r="J48" s="177"/>
    </row>
    <row r="49" ht="18" customHeight="1" spans="1:10">
      <c r="A49" s="162"/>
      <c r="B49" s="163"/>
      <c r="C49" s="163"/>
      <c r="D49" s="164"/>
      <c r="E49" s="190"/>
      <c r="F49" s="165"/>
      <c r="G49" s="166"/>
      <c r="H49" s="165"/>
      <c r="I49" s="165"/>
      <c r="J49" s="163"/>
    </row>
    <row r="50" ht="18" customHeight="1" spans="1:10">
      <c r="A50" s="162"/>
      <c r="B50" s="163"/>
      <c r="C50" s="163"/>
      <c r="D50" s="164"/>
      <c r="E50" s="164"/>
      <c r="F50" s="165"/>
      <c r="G50" s="166"/>
      <c r="H50" s="165"/>
      <c r="I50" s="165"/>
      <c r="J50" s="163"/>
    </row>
  </sheetData>
  <mergeCells count="2">
    <mergeCell ref="C2:J2"/>
    <mergeCell ref="C3:I3"/>
  </mergeCells>
  <conditionalFormatting sqref="F7:G10 F12:G23 F25:G41 F43:G48">
    <cfRule type="cellIs" dxfId="90" priority="1" operator="lessThan">
      <formula>0</formula>
    </cfRule>
  </conditionalFormatting>
  <dataValidations count="1">
    <dataValidation allowBlank="1" showInputMessage="1" showErrorMessage="1" promptTitle="利润表模板" prompt="输入你的公司名称，并输入利润表的时间覆盖范围。&#10;&#10;在 F 列中带阴影的单元格内输入值。将自动计算所有其他字段。" sqref="A1"/>
  </dataValidations>
  <pageMargins left="0.7" right="0.7" top="0.4" bottom="0.4" header="0.3" footer="0.3"/>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autoPageBreaks="0"/>
  </sheetPr>
  <dimension ref="B1:AE14"/>
  <sheetViews>
    <sheetView showGridLines="0" workbookViewId="0">
      <selection activeCell="D7" sqref="D7"/>
    </sheetView>
  </sheetViews>
  <sheetFormatPr defaultColWidth="10" defaultRowHeight="30" customHeight="1"/>
  <cols>
    <col min="1" max="1" width="5.66666666666667" style="84" customWidth="1"/>
    <col min="2" max="2" width="35.6666666666667" style="128" customWidth="1"/>
    <col min="3" max="3" width="35.6666666666667" style="84" customWidth="1"/>
    <col min="4" max="30" width="10.6666666666667" style="84" customWidth="1"/>
    <col min="31" max="31" width="5.66666666666667" style="84" customWidth="1"/>
    <col min="32" max="16384" width="10" style="84" customWidth="1"/>
  </cols>
  <sheetData>
    <row r="1" ht="25" customHeight="1" spans="2:31">
      <c r="B1" s="84"/>
      <c r="AE1" s="84" t="s">
        <v>62</v>
      </c>
    </row>
    <row r="2" ht="60" customHeight="1" spans="2:31">
      <c r="B2" s="129" t="s">
        <v>189</v>
      </c>
      <c r="J2" s="92"/>
      <c r="Q2" s="93"/>
      <c r="R2" s="93"/>
      <c r="S2" s="93"/>
      <c r="T2" s="93"/>
      <c r="U2" s="93"/>
      <c r="V2" s="93"/>
      <c r="W2" s="93"/>
      <c r="X2" s="93"/>
      <c r="Y2" s="93"/>
      <c r="Z2" s="93"/>
      <c r="AA2" s="93"/>
      <c r="AB2" s="93"/>
      <c r="AC2" s="93"/>
    </row>
    <row r="3" ht="10" customHeight="1" spans="2:31">
      <c r="B3" s="129"/>
      <c r="J3" s="92"/>
      <c r="Q3" s="93"/>
      <c r="R3" s="93"/>
      <c r="S3" s="93"/>
      <c r="T3" s="93"/>
      <c r="U3" s="93"/>
      <c r="V3" s="93"/>
      <c r="W3" s="93"/>
      <c r="X3" s="93"/>
      <c r="Y3" s="93"/>
      <c r="Z3" s="93"/>
      <c r="AA3" s="93"/>
      <c r="AB3" s="93"/>
      <c r="AC3" s="93"/>
    </row>
    <row r="4" ht="50" customHeight="1" spans="2:31">
      <c r="B4" s="97" t="s">
        <v>190</v>
      </c>
      <c r="C4" s="98"/>
      <c r="D4" s="98"/>
      <c r="E4" s="99"/>
      <c r="F4" s="98"/>
      <c r="G4" s="99"/>
      <c r="H4" s="98"/>
      <c r="I4" s="98"/>
      <c r="J4" s="98"/>
      <c r="K4" s="99"/>
      <c r="L4" s="99"/>
      <c r="M4" s="99"/>
      <c r="N4" s="99"/>
      <c r="O4" s="99"/>
      <c r="P4" s="98"/>
      <c r="Q4" s="98"/>
      <c r="R4" s="98"/>
      <c r="S4" s="98"/>
      <c r="T4" s="98"/>
      <c r="U4" s="98"/>
      <c r="V4" s="98"/>
      <c r="W4" s="98"/>
      <c r="X4" s="100"/>
      <c r="Y4" s="100"/>
      <c r="Z4" s="100"/>
      <c r="AA4" s="100"/>
      <c r="AB4" s="131"/>
      <c r="AC4" s="98"/>
      <c r="AD4" s="98"/>
    </row>
    <row r="5" ht="25" customHeight="1" spans="2:31">
      <c r="B5" s="145"/>
      <c r="E5" s="102"/>
      <c r="G5" s="102"/>
      <c r="K5" s="102"/>
      <c r="L5" s="102"/>
      <c r="M5" s="102"/>
      <c r="N5" s="102"/>
      <c r="O5" s="102"/>
      <c r="X5" s="103"/>
      <c r="Y5" s="103"/>
      <c r="Z5" s="103"/>
      <c r="AA5" s="103"/>
      <c r="AB5" s="104"/>
      <c r="AC5" s="104"/>
      <c r="AD5" s="104"/>
    </row>
    <row r="6" s="127" customFormat="1" customHeight="1" spans="2:31">
      <c r="B6" s="146" t="s">
        <v>3</v>
      </c>
      <c r="C6" s="146" t="s">
        <v>191</v>
      </c>
      <c r="D6" s="147" t="s">
        <v>192</v>
      </c>
      <c r="E6" s="147" t="s">
        <v>193</v>
      </c>
      <c r="F6" s="147" t="s">
        <v>194</v>
      </c>
      <c r="G6" s="147" t="s">
        <v>195</v>
      </c>
      <c r="H6" s="147" t="s">
        <v>196</v>
      </c>
      <c r="I6" s="147" t="s">
        <v>197</v>
      </c>
      <c r="J6" s="147" t="s">
        <v>198</v>
      </c>
      <c r="K6" s="147" t="s">
        <v>199</v>
      </c>
      <c r="L6" s="147" t="s">
        <v>200</v>
      </c>
      <c r="M6" s="147" t="s">
        <v>201</v>
      </c>
      <c r="N6" s="147" t="s">
        <v>202</v>
      </c>
      <c r="O6" s="147" t="s">
        <v>203</v>
      </c>
      <c r="P6" s="147" t="s">
        <v>204</v>
      </c>
      <c r="Q6" s="147" t="s">
        <v>205</v>
      </c>
      <c r="R6" s="147" t="s">
        <v>206</v>
      </c>
      <c r="S6" s="147" t="s">
        <v>207</v>
      </c>
      <c r="T6" s="147" t="s">
        <v>208</v>
      </c>
      <c r="U6" s="147" t="s">
        <v>209</v>
      </c>
      <c r="V6" s="147" t="s">
        <v>210</v>
      </c>
      <c r="W6" s="147" t="s">
        <v>211</v>
      </c>
      <c r="X6" s="147" t="s">
        <v>212</v>
      </c>
      <c r="Y6" s="147" t="s">
        <v>213</v>
      </c>
      <c r="Z6" s="147" t="s">
        <v>214</v>
      </c>
      <c r="AA6" s="147" t="s">
        <v>215</v>
      </c>
      <c r="AB6" s="147" t="s">
        <v>216</v>
      </c>
      <c r="AC6" s="147" t="s">
        <v>217</v>
      </c>
      <c r="AD6" s="147" t="s">
        <v>218</v>
      </c>
    </row>
    <row r="7" customHeight="1" spans="2:31">
      <c r="B7" s="107" t="s">
        <v>85</v>
      </c>
      <c r="C7" s="148"/>
      <c r="D7" s="149">
        <v>186</v>
      </c>
      <c r="E7" s="149">
        <v>0</v>
      </c>
      <c r="F7" s="149">
        <v>0</v>
      </c>
      <c r="G7" s="149">
        <v>0</v>
      </c>
      <c r="H7" s="149">
        <v>0</v>
      </c>
      <c r="I7" s="149">
        <v>0</v>
      </c>
      <c r="J7" s="149">
        <v>0</v>
      </c>
      <c r="K7" s="149">
        <v>0</v>
      </c>
      <c r="L7" s="149">
        <v>0</v>
      </c>
      <c r="M7" s="149">
        <v>0</v>
      </c>
      <c r="N7" s="149">
        <v>0</v>
      </c>
      <c r="O7" s="149">
        <v>0</v>
      </c>
      <c r="P7" s="150">
        <f>SUM(收入[[#This Row],[1 月]:[12 月]])</f>
        <v>186</v>
      </c>
      <c r="Q7" s="151">
        <v>0.12</v>
      </c>
      <c r="R7" s="152">
        <f>IFERROR(收入[[#This Row],[1 月]]/收入[[#Totals],[1 月]],"-")</f>
        <v>0.254445964432285</v>
      </c>
      <c r="S7" s="152" t="str">
        <f>IFERROR(收入[[#This Row],[2 月]]/收入[[#Totals],[2 月]],"-")</f>
        <v>-</v>
      </c>
      <c r="T7" s="152" t="str">
        <f>IFERROR(收入[[#This Row],[3 月]]/收入[[#Totals],[3 月]],"-")</f>
        <v>-</v>
      </c>
      <c r="U7" s="152" t="str">
        <f>IFERROR(收入[[#This Row],[4 月]]/收入[[#Totals],[4 月]],"-")</f>
        <v>-</v>
      </c>
      <c r="V7" s="152" t="str">
        <f>IFERROR(收入[[#This Row],[5 月]]/收入[[#Totals],[5 月]],"-")</f>
        <v>-</v>
      </c>
      <c r="W7" s="152" t="str">
        <f>IFERROR(收入[[#This Row],[6 月]]/收入[[#Totals],[6 月]],"-")</f>
        <v>-</v>
      </c>
      <c r="X7" s="152" t="str">
        <f>IFERROR(收入[[#This Row],[7 月]]/收入[[#Totals],[7 月]],"-")</f>
        <v>-</v>
      </c>
      <c r="Y7" s="152" t="str">
        <f>IFERROR(收入[[#This Row],[8 月]]/收入[[#Totals],[8 月]],"-")</f>
        <v>-</v>
      </c>
      <c r="Z7" s="152" t="str">
        <f>IFERROR(收入[[#This Row],[9 月]]/收入[[#Totals],[9 月]],"-")</f>
        <v>-</v>
      </c>
      <c r="AA7" s="152" t="str">
        <f>IFERROR(收入[[#This Row],[10 月]]/收入[[#Totals],[10 月]],"-")</f>
        <v>-</v>
      </c>
      <c r="AB7" s="152" t="str">
        <f>IFERROR(收入[[#This Row],[11 月]]/收入[[#Totals],[11 月]],"-")</f>
        <v>-</v>
      </c>
      <c r="AC7" s="152" t="str">
        <f>IFERROR(收入[[#This Row],[12 月]]/收入[[#Totals],[12 月]],"-")</f>
        <v>-</v>
      </c>
      <c r="AD7" s="152">
        <f>IFERROR(收入[[#This Row],[年度]]/收入[[#Totals],[年度]],"-")</f>
        <v>0.254445964432285</v>
      </c>
    </row>
    <row r="8" customHeight="1" spans="2:31">
      <c r="B8" s="107" t="s">
        <v>219</v>
      </c>
      <c r="C8" s="153"/>
      <c r="D8" s="149">
        <v>122</v>
      </c>
      <c r="E8" s="149">
        <v>0</v>
      </c>
      <c r="F8" s="149">
        <v>0</v>
      </c>
      <c r="G8" s="149">
        <v>0</v>
      </c>
      <c r="H8" s="149">
        <v>0</v>
      </c>
      <c r="I8" s="149">
        <v>0</v>
      </c>
      <c r="J8" s="149">
        <v>0</v>
      </c>
      <c r="K8" s="149">
        <v>0</v>
      </c>
      <c r="L8" s="149">
        <v>0</v>
      </c>
      <c r="M8" s="149">
        <v>0</v>
      </c>
      <c r="N8" s="149">
        <v>0</v>
      </c>
      <c r="O8" s="149">
        <v>0</v>
      </c>
      <c r="P8" s="154">
        <f>SUM(收入[[#This Row],[1 月]:[12 月]])</f>
        <v>122</v>
      </c>
      <c r="Q8" s="151">
        <v>0.18</v>
      </c>
      <c r="R8" s="155">
        <f>IFERROR(收入[[#This Row],[1 月]]/收入[[#Totals],[1 月]],"-")</f>
        <v>0.166894664842681</v>
      </c>
      <c r="S8" s="155" t="str">
        <f>IFERROR(收入[[#This Row],[2 月]]/收入[[#Totals],[2 月]],"-")</f>
        <v>-</v>
      </c>
      <c r="T8" s="155" t="str">
        <f>IFERROR(收入[[#This Row],[3 月]]/收入[[#Totals],[3 月]],"-")</f>
        <v>-</v>
      </c>
      <c r="U8" s="155" t="str">
        <f>IFERROR(收入[[#This Row],[4 月]]/收入[[#Totals],[4 月]],"-")</f>
        <v>-</v>
      </c>
      <c r="V8" s="155" t="str">
        <f>IFERROR(收入[[#This Row],[5 月]]/收入[[#Totals],[5 月]],"-")</f>
        <v>-</v>
      </c>
      <c r="W8" s="155" t="str">
        <f>IFERROR(收入[[#This Row],[6 月]]/收入[[#Totals],[6 月]],"-")</f>
        <v>-</v>
      </c>
      <c r="X8" s="155" t="str">
        <f>IFERROR(收入[[#This Row],[7 月]]/收入[[#Totals],[7 月]],"-")</f>
        <v>-</v>
      </c>
      <c r="Y8" s="155" t="str">
        <f>IFERROR(收入[[#This Row],[8 月]]/收入[[#Totals],[8 月]],"-")</f>
        <v>-</v>
      </c>
      <c r="Z8" s="155" t="str">
        <f>IFERROR(收入[[#This Row],[9 月]]/收入[[#Totals],[9 月]],"-")</f>
        <v>-</v>
      </c>
      <c r="AA8" s="155" t="str">
        <f>IFERROR(收入[[#This Row],[10 月]]/收入[[#Totals],[10 月]],"-")</f>
        <v>-</v>
      </c>
      <c r="AB8" s="155" t="str">
        <f>IFERROR(收入[[#This Row],[11 月]]/收入[[#Totals],[11 月]],"-")</f>
        <v>-</v>
      </c>
      <c r="AC8" s="155" t="str">
        <f>IFERROR(收入[[#This Row],[12 月]]/收入[[#Totals],[12 月]],"-")</f>
        <v>-</v>
      </c>
      <c r="AD8" s="155">
        <f>IFERROR(收入[[#This Row],[年度]]/收入[[#Totals],[年度]],"-")</f>
        <v>0.166894664842681</v>
      </c>
    </row>
    <row r="9" customHeight="1" spans="2:31">
      <c r="B9" s="107" t="s">
        <v>220</v>
      </c>
      <c r="C9" s="153"/>
      <c r="D9" s="149">
        <v>166</v>
      </c>
      <c r="E9" s="149">
        <v>0</v>
      </c>
      <c r="F9" s="149">
        <v>0</v>
      </c>
      <c r="G9" s="149">
        <v>0</v>
      </c>
      <c r="H9" s="149">
        <v>0</v>
      </c>
      <c r="I9" s="149">
        <v>0</v>
      </c>
      <c r="J9" s="149">
        <v>0</v>
      </c>
      <c r="K9" s="149">
        <v>0</v>
      </c>
      <c r="L9" s="149">
        <v>0</v>
      </c>
      <c r="M9" s="149">
        <v>0</v>
      </c>
      <c r="N9" s="149">
        <v>0</v>
      </c>
      <c r="O9" s="149">
        <v>0</v>
      </c>
      <c r="P9" s="154">
        <f>SUM(收入[[#This Row],[1 月]:[12 月]])</f>
        <v>166</v>
      </c>
      <c r="Q9" s="151">
        <v>0.19</v>
      </c>
      <c r="R9" s="155">
        <f>IFERROR(收入[[#This Row],[1 月]]/收入[[#Totals],[1 月]],"-")</f>
        <v>0.227086183310534</v>
      </c>
      <c r="S9" s="155" t="str">
        <f>IFERROR(收入[[#This Row],[2 月]]/收入[[#Totals],[2 月]],"-")</f>
        <v>-</v>
      </c>
      <c r="T9" s="155" t="str">
        <f>IFERROR(收入[[#This Row],[3 月]]/收入[[#Totals],[3 月]],"-")</f>
        <v>-</v>
      </c>
      <c r="U9" s="155" t="str">
        <f>IFERROR(收入[[#This Row],[4 月]]/收入[[#Totals],[4 月]],"-")</f>
        <v>-</v>
      </c>
      <c r="V9" s="155" t="str">
        <f>IFERROR(收入[[#This Row],[5 月]]/收入[[#Totals],[5 月]],"-")</f>
        <v>-</v>
      </c>
      <c r="W9" s="155" t="str">
        <f>IFERROR(收入[[#This Row],[6 月]]/收入[[#Totals],[6 月]],"-")</f>
        <v>-</v>
      </c>
      <c r="X9" s="155" t="str">
        <f>IFERROR(收入[[#This Row],[7 月]]/收入[[#Totals],[7 月]],"-")</f>
        <v>-</v>
      </c>
      <c r="Y9" s="155" t="str">
        <f>IFERROR(收入[[#This Row],[8 月]]/收入[[#Totals],[8 月]],"-")</f>
        <v>-</v>
      </c>
      <c r="Z9" s="155" t="str">
        <f>IFERROR(收入[[#This Row],[9 月]]/收入[[#Totals],[9 月]],"-")</f>
        <v>-</v>
      </c>
      <c r="AA9" s="155" t="str">
        <f>IFERROR(收入[[#This Row],[10 月]]/收入[[#Totals],[10 月]],"-")</f>
        <v>-</v>
      </c>
      <c r="AB9" s="155" t="str">
        <f>IFERROR(收入[[#This Row],[11 月]]/收入[[#Totals],[11 月]],"-")</f>
        <v>-</v>
      </c>
      <c r="AC9" s="155" t="str">
        <f>IFERROR(收入[[#This Row],[12 月]]/收入[[#Totals],[12 月]],"-")</f>
        <v>-</v>
      </c>
      <c r="AD9" s="155">
        <f>IFERROR(收入[[#This Row],[年度]]/收入[[#Totals],[年度]],"-")</f>
        <v>0.227086183310534</v>
      </c>
    </row>
    <row r="10" customHeight="1" spans="2:31">
      <c r="B10" s="107" t="s">
        <v>221</v>
      </c>
      <c r="C10" s="153"/>
      <c r="D10" s="149">
        <v>21</v>
      </c>
      <c r="E10" s="149">
        <v>0</v>
      </c>
      <c r="F10" s="149">
        <v>0</v>
      </c>
      <c r="G10" s="149">
        <v>0</v>
      </c>
      <c r="H10" s="149">
        <v>0</v>
      </c>
      <c r="I10" s="149">
        <v>0</v>
      </c>
      <c r="J10" s="149">
        <v>0</v>
      </c>
      <c r="K10" s="149">
        <v>0</v>
      </c>
      <c r="L10" s="149">
        <v>0</v>
      </c>
      <c r="M10" s="149">
        <v>0</v>
      </c>
      <c r="N10" s="149">
        <v>0</v>
      </c>
      <c r="O10" s="149">
        <v>0</v>
      </c>
      <c r="P10" s="154">
        <f>SUM(收入[[#This Row],[1 月]:[12 月]])</f>
        <v>21</v>
      </c>
      <c r="Q10" s="151">
        <v>0.11</v>
      </c>
      <c r="R10" s="155">
        <f>IFERROR(收入[[#This Row],[1 月]]/收入[[#Totals],[1 月]],"-")</f>
        <v>0.0287277701778386</v>
      </c>
      <c r="S10" s="155" t="str">
        <f>IFERROR(收入[[#This Row],[2 月]]/收入[[#Totals],[2 月]],"-")</f>
        <v>-</v>
      </c>
      <c r="T10" s="155" t="str">
        <f>IFERROR(收入[[#This Row],[3 月]]/收入[[#Totals],[3 月]],"-")</f>
        <v>-</v>
      </c>
      <c r="U10" s="155" t="str">
        <f>IFERROR(收入[[#This Row],[4 月]]/收入[[#Totals],[4 月]],"-")</f>
        <v>-</v>
      </c>
      <c r="V10" s="155" t="str">
        <f>IFERROR(收入[[#This Row],[5 月]]/收入[[#Totals],[5 月]],"-")</f>
        <v>-</v>
      </c>
      <c r="W10" s="155" t="str">
        <f>IFERROR(收入[[#This Row],[6 月]]/收入[[#Totals],[6 月]],"-")</f>
        <v>-</v>
      </c>
      <c r="X10" s="155" t="str">
        <f>IFERROR(收入[[#This Row],[7 月]]/收入[[#Totals],[7 月]],"-")</f>
        <v>-</v>
      </c>
      <c r="Y10" s="155" t="str">
        <f>IFERROR(收入[[#This Row],[8 月]]/收入[[#Totals],[8 月]],"-")</f>
        <v>-</v>
      </c>
      <c r="Z10" s="155" t="str">
        <f>IFERROR(收入[[#This Row],[9 月]]/收入[[#Totals],[9 月]],"-")</f>
        <v>-</v>
      </c>
      <c r="AA10" s="155" t="str">
        <f>IFERROR(收入[[#This Row],[10 月]]/收入[[#Totals],[10 月]],"-")</f>
        <v>-</v>
      </c>
      <c r="AB10" s="155" t="str">
        <f>IFERROR(收入[[#This Row],[11 月]]/收入[[#Totals],[11 月]],"-")</f>
        <v>-</v>
      </c>
      <c r="AC10" s="155" t="str">
        <f>IFERROR(收入[[#This Row],[12 月]]/收入[[#Totals],[12 月]],"-")</f>
        <v>-</v>
      </c>
      <c r="AD10" s="155">
        <f>IFERROR(收入[[#This Row],[年度]]/收入[[#Totals],[年度]],"-")</f>
        <v>0.0287277701778386</v>
      </c>
    </row>
    <row r="11" customHeight="1" spans="2:31">
      <c r="B11" s="107" t="s">
        <v>222</v>
      </c>
      <c r="C11" s="153"/>
      <c r="D11" s="149">
        <v>70</v>
      </c>
      <c r="E11" s="149">
        <v>0</v>
      </c>
      <c r="F11" s="149">
        <v>0</v>
      </c>
      <c r="G11" s="149">
        <v>0</v>
      </c>
      <c r="H11" s="149">
        <v>0</v>
      </c>
      <c r="I11" s="149">
        <v>0</v>
      </c>
      <c r="J11" s="149">
        <v>0</v>
      </c>
      <c r="K11" s="149">
        <v>0</v>
      </c>
      <c r="L11" s="149">
        <v>0</v>
      </c>
      <c r="M11" s="149">
        <v>0</v>
      </c>
      <c r="N11" s="149">
        <v>0</v>
      </c>
      <c r="O11" s="149">
        <v>0</v>
      </c>
      <c r="P11" s="154">
        <f>SUM(收入[[#This Row],[1 月]:[12 月]])</f>
        <v>70</v>
      </c>
      <c r="Q11" s="151">
        <v>0.2</v>
      </c>
      <c r="R11" s="155">
        <f>IFERROR(收入[[#This Row],[1 月]]/收入[[#Totals],[1 月]],"-")</f>
        <v>0.0957592339261286</v>
      </c>
      <c r="S11" s="155" t="str">
        <f>IFERROR(收入[[#This Row],[2 月]]/收入[[#Totals],[2 月]],"-")</f>
        <v>-</v>
      </c>
      <c r="T11" s="155" t="str">
        <f>IFERROR(收入[[#This Row],[3 月]]/收入[[#Totals],[3 月]],"-")</f>
        <v>-</v>
      </c>
      <c r="U11" s="155" t="str">
        <f>IFERROR(收入[[#This Row],[4 月]]/收入[[#Totals],[4 月]],"-")</f>
        <v>-</v>
      </c>
      <c r="V11" s="155" t="str">
        <f>IFERROR(收入[[#This Row],[5 月]]/收入[[#Totals],[5 月]],"-")</f>
        <v>-</v>
      </c>
      <c r="W11" s="155" t="str">
        <f>IFERROR(收入[[#This Row],[6 月]]/收入[[#Totals],[6 月]],"-")</f>
        <v>-</v>
      </c>
      <c r="X11" s="155" t="str">
        <f>IFERROR(收入[[#This Row],[7 月]]/收入[[#Totals],[7 月]],"-")</f>
        <v>-</v>
      </c>
      <c r="Y11" s="155" t="str">
        <f>IFERROR(收入[[#This Row],[8 月]]/收入[[#Totals],[8 月]],"-")</f>
        <v>-</v>
      </c>
      <c r="Z11" s="155" t="str">
        <f>IFERROR(收入[[#This Row],[9 月]]/收入[[#Totals],[9 月]],"-")</f>
        <v>-</v>
      </c>
      <c r="AA11" s="155" t="str">
        <f>IFERROR(收入[[#This Row],[10 月]]/收入[[#Totals],[10 月]],"-")</f>
        <v>-</v>
      </c>
      <c r="AB11" s="155" t="str">
        <f>IFERROR(收入[[#This Row],[11 月]]/收入[[#Totals],[11 月]],"-")</f>
        <v>-</v>
      </c>
      <c r="AC11" s="155" t="str">
        <f>IFERROR(收入[[#This Row],[12 月]]/收入[[#Totals],[12 月]],"-")</f>
        <v>-</v>
      </c>
      <c r="AD11" s="155">
        <f>IFERROR(收入[[#This Row],[年度]]/收入[[#Totals],[年度]],"-")</f>
        <v>0.0957592339261286</v>
      </c>
    </row>
    <row r="12" customHeight="1" spans="2:31">
      <c r="B12" s="107" t="s">
        <v>223</v>
      </c>
      <c r="C12" s="153"/>
      <c r="D12" s="149">
        <v>61</v>
      </c>
      <c r="E12" s="149">
        <v>0</v>
      </c>
      <c r="F12" s="149">
        <v>0</v>
      </c>
      <c r="G12" s="149">
        <v>0</v>
      </c>
      <c r="H12" s="149">
        <v>0</v>
      </c>
      <c r="I12" s="149">
        <v>0</v>
      </c>
      <c r="J12" s="149">
        <v>0</v>
      </c>
      <c r="K12" s="149">
        <v>0</v>
      </c>
      <c r="L12" s="149">
        <v>0</v>
      </c>
      <c r="M12" s="149">
        <v>0</v>
      </c>
      <c r="N12" s="149">
        <v>0</v>
      </c>
      <c r="O12" s="149">
        <v>0</v>
      </c>
      <c r="P12" s="154">
        <f>SUM(收入[[#This Row],[1 月]:[12 月]])</f>
        <v>61</v>
      </c>
      <c r="Q12" s="151">
        <v>0.1</v>
      </c>
      <c r="R12" s="155">
        <f>IFERROR(收入[[#This Row],[1 月]]/收入[[#Totals],[1 月]],"-")</f>
        <v>0.0834473324213406</v>
      </c>
      <c r="S12" s="155" t="str">
        <f>IFERROR(收入[[#This Row],[2 月]]/收入[[#Totals],[2 月]],"-")</f>
        <v>-</v>
      </c>
      <c r="T12" s="155" t="str">
        <f>IFERROR(收入[[#This Row],[3 月]]/收入[[#Totals],[3 月]],"-")</f>
        <v>-</v>
      </c>
      <c r="U12" s="155" t="str">
        <f>IFERROR(收入[[#This Row],[4 月]]/收入[[#Totals],[4 月]],"-")</f>
        <v>-</v>
      </c>
      <c r="V12" s="155" t="str">
        <f>IFERROR(收入[[#This Row],[5 月]]/收入[[#Totals],[5 月]],"-")</f>
        <v>-</v>
      </c>
      <c r="W12" s="155" t="str">
        <f>IFERROR(收入[[#This Row],[6 月]]/收入[[#Totals],[6 月]],"-")</f>
        <v>-</v>
      </c>
      <c r="X12" s="155" t="str">
        <f>IFERROR(收入[[#This Row],[7 月]]/收入[[#Totals],[7 月]],"-")</f>
        <v>-</v>
      </c>
      <c r="Y12" s="155" t="str">
        <f>IFERROR(收入[[#This Row],[8 月]]/收入[[#Totals],[8 月]],"-")</f>
        <v>-</v>
      </c>
      <c r="Z12" s="155" t="str">
        <f>IFERROR(收入[[#This Row],[9 月]]/收入[[#Totals],[9 月]],"-")</f>
        <v>-</v>
      </c>
      <c r="AA12" s="155" t="str">
        <f>IFERROR(收入[[#This Row],[10 月]]/收入[[#Totals],[10 月]],"-")</f>
        <v>-</v>
      </c>
      <c r="AB12" s="155" t="str">
        <f>IFERROR(收入[[#This Row],[11 月]]/收入[[#Totals],[11 月]],"-")</f>
        <v>-</v>
      </c>
      <c r="AC12" s="155" t="str">
        <f>IFERROR(收入[[#This Row],[12 月]]/收入[[#Totals],[12 月]],"-")</f>
        <v>-</v>
      </c>
      <c r="AD12" s="155">
        <f>IFERROR(收入[[#This Row],[年度]]/收入[[#Totals],[年度]],"-")</f>
        <v>0.0834473324213406</v>
      </c>
    </row>
    <row r="13" customHeight="1" spans="2:31">
      <c r="B13" s="107" t="s">
        <v>224</v>
      </c>
      <c r="C13" s="153"/>
      <c r="D13" s="149">
        <v>105</v>
      </c>
      <c r="E13" s="149">
        <v>0</v>
      </c>
      <c r="F13" s="149">
        <v>0</v>
      </c>
      <c r="G13" s="149">
        <v>0</v>
      </c>
      <c r="H13" s="149">
        <v>0</v>
      </c>
      <c r="I13" s="149">
        <v>0</v>
      </c>
      <c r="J13" s="149">
        <v>0</v>
      </c>
      <c r="K13" s="149">
        <v>0</v>
      </c>
      <c r="L13" s="149">
        <v>0</v>
      </c>
      <c r="M13" s="149">
        <v>0</v>
      </c>
      <c r="N13" s="149">
        <v>0</v>
      </c>
      <c r="O13" s="149">
        <v>0</v>
      </c>
      <c r="P13" s="154">
        <f>SUM(收入[[#This Row],[1 月]:[12 月]])</f>
        <v>105</v>
      </c>
      <c r="Q13" s="151">
        <v>0.1</v>
      </c>
      <c r="R13" s="155">
        <f>IFERROR(收入[[#This Row],[1 月]]/收入[[#Totals],[1 月]],"-")</f>
        <v>0.143638850889193</v>
      </c>
      <c r="S13" s="155" t="str">
        <f>IFERROR(收入[[#This Row],[2 月]]/收入[[#Totals],[2 月]],"-")</f>
        <v>-</v>
      </c>
      <c r="T13" s="155" t="str">
        <f>IFERROR(收入[[#This Row],[3 月]]/收入[[#Totals],[3 月]],"-")</f>
        <v>-</v>
      </c>
      <c r="U13" s="155" t="str">
        <f>IFERROR(收入[[#This Row],[4 月]]/收入[[#Totals],[4 月]],"-")</f>
        <v>-</v>
      </c>
      <c r="V13" s="155" t="str">
        <f>IFERROR(收入[[#This Row],[5 月]]/收入[[#Totals],[5 月]],"-")</f>
        <v>-</v>
      </c>
      <c r="W13" s="155" t="str">
        <f>IFERROR(收入[[#This Row],[6 月]]/收入[[#Totals],[6 月]],"-")</f>
        <v>-</v>
      </c>
      <c r="X13" s="155" t="str">
        <f>IFERROR(收入[[#This Row],[7 月]]/收入[[#Totals],[7 月]],"-")</f>
        <v>-</v>
      </c>
      <c r="Y13" s="155" t="str">
        <f>IFERROR(收入[[#This Row],[8 月]]/收入[[#Totals],[8 月]],"-")</f>
        <v>-</v>
      </c>
      <c r="Z13" s="155" t="str">
        <f>IFERROR(收入[[#This Row],[9 月]]/收入[[#Totals],[9 月]],"-")</f>
        <v>-</v>
      </c>
      <c r="AA13" s="155" t="str">
        <f>IFERROR(收入[[#This Row],[10 月]]/收入[[#Totals],[10 月]],"-")</f>
        <v>-</v>
      </c>
      <c r="AB13" s="155" t="str">
        <f>IFERROR(收入[[#This Row],[11 月]]/收入[[#Totals],[11 月]],"-")</f>
        <v>-</v>
      </c>
      <c r="AC13" s="155" t="str">
        <f>IFERROR(收入[[#This Row],[12 月]]/收入[[#Totals],[12 月]],"-")</f>
        <v>-</v>
      </c>
      <c r="AD13" s="155">
        <f>IFERROR(收入[[#This Row],[年度]]/收入[[#Totals],[年度]],"-")</f>
        <v>0.143638850889193</v>
      </c>
    </row>
    <row r="14" s="83" customFormat="1" customHeight="1" spans="2:31">
      <c r="B14" s="105" t="s">
        <v>225</v>
      </c>
      <c r="C14" s="156"/>
      <c r="D14" s="124">
        <f>SUBTOTAL(109,收入[1 月])</f>
        <v>731</v>
      </c>
      <c r="E14" s="124">
        <f>SUBTOTAL(109,收入[2 月])</f>
        <v>0</v>
      </c>
      <c r="F14" s="124">
        <f>SUBTOTAL(109,收入[3 月])</f>
        <v>0</v>
      </c>
      <c r="G14" s="124">
        <f>SUBTOTAL(109,收入[4 月])</f>
        <v>0</v>
      </c>
      <c r="H14" s="124">
        <f>SUBTOTAL(109,收入[5 月])</f>
        <v>0</v>
      </c>
      <c r="I14" s="124">
        <f>SUBTOTAL(109,收入[6 月])</f>
        <v>0</v>
      </c>
      <c r="J14" s="124">
        <f>SUBTOTAL(109,收入[7 月])</f>
        <v>0</v>
      </c>
      <c r="K14" s="124">
        <f>SUBTOTAL(109,收入[8 月])</f>
        <v>0</v>
      </c>
      <c r="L14" s="124">
        <f>SUBTOTAL(109,收入[9 月])</f>
        <v>0</v>
      </c>
      <c r="M14" s="124">
        <f>SUBTOTAL(109,收入[10 月])</f>
        <v>0</v>
      </c>
      <c r="N14" s="124">
        <f>SUBTOTAL(109,收入[11 月])</f>
        <v>0</v>
      </c>
      <c r="O14" s="124">
        <f>SUBTOTAL(109,收入[12 月])</f>
        <v>0</v>
      </c>
      <c r="P14" s="124">
        <f>SUBTOTAL(109,收入[年度])</f>
        <v>731</v>
      </c>
      <c r="Q14" s="125">
        <f>SUBTOTAL(109,收入[行业百分比])</f>
        <v>1</v>
      </c>
      <c r="R14" s="125">
        <f>SUBTOTAL(109,收入[1 月 %])</f>
        <v>1</v>
      </c>
      <c r="S14" s="125">
        <f>SUBTOTAL(109,收入[2 月 %])</f>
        <v>0</v>
      </c>
      <c r="T14" s="125">
        <f>SUBTOTAL(109,收入[3 月 %])</f>
        <v>0</v>
      </c>
      <c r="U14" s="125">
        <f>SUBTOTAL(109,收入[4 月 %])</f>
        <v>0</v>
      </c>
      <c r="V14" s="125">
        <f>SUBTOTAL(109,收入[5 月 %])</f>
        <v>0</v>
      </c>
      <c r="W14" s="125">
        <f>SUBTOTAL(109,收入[6 月 %])</f>
        <v>0</v>
      </c>
      <c r="X14" s="125">
        <f>SUBTOTAL(109,收入[7 月 %])</f>
        <v>0</v>
      </c>
      <c r="Y14" s="125">
        <f>SUBTOTAL(109,收入[8 月 %])</f>
        <v>0</v>
      </c>
      <c r="Z14" s="125">
        <f>SUBTOTAL(109,收入[9 月 %])</f>
        <v>0</v>
      </c>
      <c r="AA14" s="125">
        <f>SUBTOTAL(109,收入[10 月 %])</f>
        <v>0</v>
      </c>
      <c r="AB14" s="125">
        <f>SUBTOTAL(109,收入[11 月 %])</f>
        <v>0</v>
      </c>
      <c r="AC14" s="125">
        <f>SUBTOTAL(109,收入[12 月 %])</f>
        <v>0</v>
      </c>
      <c r="AD14" s="125">
        <f>SUBTOTAL(109,收入[年度 %])</f>
        <v>1</v>
      </c>
    </row>
  </sheetData>
  <dataValidations count="9">
    <dataValidation allowBlank="1" showInputMessage="1" showErrorMessage="1" prompt="此工作表计算不同源的每月总销售额、每年总销售额以及年度总销售额。" sqref="A1"/>
    <dataValidation allowBlank="1" showInputMessage="1" showErrorMessage="1" prompt="在此单元格中输入公司名称" sqref="B2"/>
    <dataValidation allowBlank="1" showInputMessage="1" showErrorMessage="1" prompt="预测标题位于此单元格中。在下面的“收入”表中输入值以计算总销售额" sqref="B4"/>
    <dataValidation allowBlank="1" showInputMessage="1" showErrorMessage="1" prompt="在此列中输入销售产生的收入" sqref="B6"/>
    <dataValidation allowBlank="1" showInputMessage="1" showErrorMessage="1" prompt="此列是随时间推移的收入趋势图" sqref="C6"/>
    <dataValidation allowBlank="1" showInputMessage="1" showErrorMessage="1" prompt="“年收入”在此列中自动计算" sqref="P6"/>
    <dataValidation allowBlank="1" showInputMessage="1" showErrorMessage="1" prompt="指数率位于此列中" sqref="Q6"/>
    <dataValidation allowBlank="1" showInputMessage="1" showErrorMessage="1" prompt="针对此单元格中的月份，在此列中自动计算不同源的销售额占该月总销售额的比例" sqref="R6:AC6"/>
    <dataValidation allowBlank="1" showInputMessage="1" showErrorMessage="1" prompt="在此列中自动计算不同源的销售额占该年总销售额的比例" sqref="AD6"/>
  </dataValidations>
  <printOptions horizontalCentered="1"/>
  <pageMargins left="0.25" right="0.25" top="0.75" bottom="0.75" header="0.3" footer="0.3"/>
  <pageSetup paperSize="9" fitToHeight="0" orientation="landscape"/>
  <headerFooter differentFirst="1"/>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E17"/>
  <sheetViews>
    <sheetView showGridLines="0" zoomScale="105" zoomScaleNormal="105" workbookViewId="0">
      <selection activeCell="C9" sqref="C9"/>
    </sheetView>
  </sheetViews>
  <sheetFormatPr defaultColWidth="10" defaultRowHeight="30" customHeight="1"/>
  <cols>
    <col min="1" max="1" width="5.66666666666667" style="84" customWidth="1"/>
    <col min="2" max="2" width="35.6666666666667" style="128" customWidth="1"/>
    <col min="3" max="3" width="35.6666666666667" style="84" customWidth="1"/>
    <col min="4" max="30" width="10.6666666666667" style="84" customWidth="1"/>
    <col min="31" max="31" width="5.66666666666667" style="84" customWidth="1"/>
    <col min="32" max="16384" width="10" style="84" customWidth="1"/>
  </cols>
  <sheetData>
    <row r="1" ht="25" customHeight="1" spans="2:31">
      <c r="B1" s="84"/>
      <c r="AE1" s="84" t="s">
        <v>62</v>
      </c>
    </row>
    <row r="2" ht="60" customHeight="1" spans="2:31">
      <c r="B2" s="129" t="str">
        <f>Company_Name</f>
        <v>化妆工作室</v>
      </c>
      <c r="C2" s="129"/>
      <c r="J2" s="92"/>
      <c r="Q2" s="93"/>
      <c r="R2" s="93"/>
      <c r="S2" s="93"/>
      <c r="T2" s="93"/>
      <c r="U2" s="93"/>
      <c r="V2" s="93"/>
      <c r="W2" s="93"/>
      <c r="X2" s="93"/>
      <c r="Y2" s="93"/>
      <c r="Z2" s="93"/>
      <c r="AA2" s="93"/>
      <c r="AB2" s="93"/>
      <c r="AC2" s="93"/>
      <c r="AD2" s="130"/>
    </row>
    <row r="3" ht="10" customHeight="1" spans="2:31">
      <c r="B3" s="90"/>
      <c r="C3" s="91"/>
      <c r="J3" s="92"/>
      <c r="Q3" s="93"/>
      <c r="R3" s="93"/>
      <c r="S3" s="93"/>
      <c r="T3" s="93"/>
      <c r="U3" s="93"/>
      <c r="V3" s="93"/>
      <c r="W3" s="93"/>
      <c r="X3" s="93"/>
      <c r="Y3" s="93"/>
      <c r="Z3" s="93"/>
      <c r="AA3" s="93"/>
      <c r="AB3" s="93"/>
      <c r="AC3" s="93"/>
      <c r="AD3" s="130"/>
    </row>
    <row r="4" ht="50" customHeight="1" spans="2:31">
      <c r="B4" s="97" t="str">
        <f>Wksht_Title</f>
        <v>损益预测</v>
      </c>
      <c r="C4" s="97"/>
      <c r="D4" s="98"/>
      <c r="E4" s="99"/>
      <c r="F4" s="98"/>
      <c r="G4" s="99"/>
      <c r="H4" s="98"/>
      <c r="I4" s="98"/>
      <c r="J4" s="98"/>
      <c r="K4" s="99"/>
      <c r="L4" s="99"/>
      <c r="M4" s="99"/>
      <c r="N4" s="99"/>
      <c r="O4" s="99"/>
      <c r="P4" s="98"/>
      <c r="Q4" s="98"/>
      <c r="R4" s="98"/>
      <c r="S4" s="98"/>
      <c r="T4" s="98"/>
      <c r="U4" s="98"/>
      <c r="V4" s="98"/>
      <c r="W4" s="98"/>
      <c r="X4" s="100"/>
      <c r="Y4" s="100"/>
      <c r="Z4" s="100"/>
      <c r="AA4" s="100"/>
      <c r="AB4" s="131"/>
      <c r="AC4" s="98"/>
      <c r="AD4" s="98"/>
    </row>
    <row r="5" ht="25" customHeight="1" spans="2:31">
      <c r="B5" s="132"/>
      <c r="C5" s="132"/>
      <c r="E5" s="102"/>
      <c r="G5" s="102"/>
      <c r="K5" s="102"/>
      <c r="L5" s="102"/>
      <c r="M5" s="102"/>
      <c r="N5" s="102"/>
      <c r="O5" s="102"/>
      <c r="X5" s="103"/>
      <c r="Y5" s="103"/>
      <c r="Z5" s="103"/>
      <c r="AA5" s="103"/>
      <c r="AB5" s="104"/>
      <c r="AC5" s="104"/>
      <c r="AD5" s="104"/>
    </row>
    <row r="6" s="127" customFormat="1" customHeight="1" spans="2:31">
      <c r="B6" s="105" t="s">
        <v>226</v>
      </c>
      <c r="C6" s="105" t="s">
        <v>191</v>
      </c>
      <c r="D6" s="106" t="s">
        <v>192</v>
      </c>
      <c r="E6" s="106" t="s">
        <v>193</v>
      </c>
      <c r="F6" s="106" t="s">
        <v>194</v>
      </c>
      <c r="G6" s="106" t="s">
        <v>195</v>
      </c>
      <c r="H6" s="106" t="s">
        <v>196</v>
      </c>
      <c r="I6" s="106" t="s">
        <v>197</v>
      </c>
      <c r="J6" s="106" t="s">
        <v>198</v>
      </c>
      <c r="K6" s="106" t="s">
        <v>199</v>
      </c>
      <c r="L6" s="106" t="s">
        <v>200</v>
      </c>
      <c r="M6" s="106" t="s">
        <v>201</v>
      </c>
      <c r="N6" s="106" t="s">
        <v>202</v>
      </c>
      <c r="O6" s="106" t="s">
        <v>203</v>
      </c>
      <c r="P6" s="106" t="s">
        <v>204</v>
      </c>
      <c r="Q6" s="106" t="s">
        <v>227</v>
      </c>
      <c r="R6" s="106" t="s">
        <v>206</v>
      </c>
      <c r="S6" s="106" t="s">
        <v>207</v>
      </c>
      <c r="T6" s="106" t="s">
        <v>208</v>
      </c>
      <c r="U6" s="106" t="s">
        <v>209</v>
      </c>
      <c r="V6" s="106" t="s">
        <v>210</v>
      </c>
      <c r="W6" s="106" t="s">
        <v>211</v>
      </c>
      <c r="X6" s="106" t="s">
        <v>212</v>
      </c>
      <c r="Y6" s="106" t="s">
        <v>213</v>
      </c>
      <c r="Z6" s="106" t="s">
        <v>214</v>
      </c>
      <c r="AA6" s="106" t="s">
        <v>215</v>
      </c>
      <c r="AB6" s="106" t="s">
        <v>216</v>
      </c>
      <c r="AC6" s="106" t="s">
        <v>217</v>
      </c>
      <c r="AD6" s="106" t="s">
        <v>218</v>
      </c>
    </row>
    <row r="7" customHeight="1" spans="2:31">
      <c r="B7" s="107" t="s">
        <v>228</v>
      </c>
      <c r="C7" s="133"/>
      <c r="D7" s="109">
        <v>61</v>
      </c>
      <c r="E7" s="109">
        <v>0</v>
      </c>
      <c r="F7" s="109">
        <v>0</v>
      </c>
      <c r="G7" s="109">
        <v>0</v>
      </c>
      <c r="H7" s="109">
        <v>0</v>
      </c>
      <c r="I7" s="109">
        <v>0</v>
      </c>
      <c r="J7" s="109">
        <v>0</v>
      </c>
      <c r="K7" s="109">
        <v>0</v>
      </c>
      <c r="L7" s="109">
        <v>0</v>
      </c>
      <c r="M7" s="109">
        <v>0</v>
      </c>
      <c r="N7" s="109">
        <v>0</v>
      </c>
      <c r="O7" s="109">
        <v>0</v>
      </c>
      <c r="P7" s="134">
        <f>SUM(CostofSales[[#This Row],[1 月]:[12 月]])</f>
        <v>61</v>
      </c>
      <c r="Q7" s="111">
        <v>0.12</v>
      </c>
      <c r="R7" s="135">
        <f t="shared" ref="R7:AD7" si="0">D7/D$14</f>
        <v>0.308080808080808</v>
      </c>
      <c r="S7" s="135" t="e">
        <f t="shared" si="0"/>
        <v>#DIV/0!</v>
      </c>
      <c r="T7" s="135" t="e">
        <f t="shared" si="0"/>
        <v>#DIV/0!</v>
      </c>
      <c r="U7" s="135" t="e">
        <f t="shared" si="0"/>
        <v>#DIV/0!</v>
      </c>
      <c r="V7" s="135" t="e">
        <f t="shared" si="0"/>
        <v>#DIV/0!</v>
      </c>
      <c r="W7" s="135" t="e">
        <f t="shared" si="0"/>
        <v>#DIV/0!</v>
      </c>
      <c r="X7" s="135" t="e">
        <f t="shared" si="0"/>
        <v>#DIV/0!</v>
      </c>
      <c r="Y7" s="135" t="e">
        <f t="shared" si="0"/>
        <v>#DIV/0!</v>
      </c>
      <c r="Z7" s="135" t="e">
        <f t="shared" si="0"/>
        <v>#DIV/0!</v>
      </c>
      <c r="AA7" s="135" t="e">
        <f t="shared" si="0"/>
        <v>#DIV/0!</v>
      </c>
      <c r="AB7" s="135" t="e">
        <f t="shared" si="0"/>
        <v>#DIV/0!</v>
      </c>
      <c r="AC7" s="135" t="e">
        <f t="shared" si="0"/>
        <v>#DIV/0!</v>
      </c>
      <c r="AD7" s="135">
        <f t="shared" si="0"/>
        <v>0.308080808080808</v>
      </c>
    </row>
    <row r="8" customHeight="1" spans="2:31">
      <c r="B8" s="107" t="s">
        <v>167</v>
      </c>
      <c r="C8" s="136"/>
      <c r="D8" s="109">
        <v>7</v>
      </c>
      <c r="E8" s="109">
        <v>0</v>
      </c>
      <c r="F8" s="109">
        <v>0</v>
      </c>
      <c r="G8" s="109">
        <v>0</v>
      </c>
      <c r="H8" s="109">
        <v>0</v>
      </c>
      <c r="I8" s="109">
        <v>0</v>
      </c>
      <c r="J8" s="109">
        <v>0</v>
      </c>
      <c r="K8" s="109">
        <v>0</v>
      </c>
      <c r="L8" s="109">
        <v>0</v>
      </c>
      <c r="M8" s="109">
        <v>0</v>
      </c>
      <c r="N8" s="109">
        <v>0</v>
      </c>
      <c r="O8" s="109">
        <v>0</v>
      </c>
      <c r="P8" s="137">
        <f>SUM(CostofSales[[#This Row],[1 月]:[12 月]])</f>
        <v>7</v>
      </c>
      <c r="Q8" s="111">
        <v>0.18</v>
      </c>
      <c r="R8" s="138">
        <f t="shared" ref="R8:AD8" si="1">D8/D$14</f>
        <v>0.0353535353535354</v>
      </c>
      <c r="S8" s="138" t="e">
        <f t="shared" si="1"/>
        <v>#DIV/0!</v>
      </c>
      <c r="T8" s="138" t="e">
        <f t="shared" si="1"/>
        <v>#DIV/0!</v>
      </c>
      <c r="U8" s="138" t="e">
        <f t="shared" si="1"/>
        <v>#DIV/0!</v>
      </c>
      <c r="V8" s="138" t="e">
        <f t="shared" si="1"/>
        <v>#DIV/0!</v>
      </c>
      <c r="W8" s="138" t="e">
        <f t="shared" si="1"/>
        <v>#DIV/0!</v>
      </c>
      <c r="X8" s="138" t="e">
        <f t="shared" si="1"/>
        <v>#DIV/0!</v>
      </c>
      <c r="Y8" s="138" t="e">
        <f t="shared" si="1"/>
        <v>#DIV/0!</v>
      </c>
      <c r="Z8" s="138" t="e">
        <f t="shared" si="1"/>
        <v>#DIV/0!</v>
      </c>
      <c r="AA8" s="138" t="e">
        <f t="shared" si="1"/>
        <v>#DIV/0!</v>
      </c>
      <c r="AB8" s="138" t="e">
        <f t="shared" si="1"/>
        <v>#DIV/0!</v>
      </c>
      <c r="AC8" s="138" t="e">
        <f t="shared" si="1"/>
        <v>#DIV/0!</v>
      </c>
      <c r="AD8" s="138">
        <f t="shared" si="1"/>
        <v>0.0353535353535354</v>
      </c>
    </row>
    <row r="9" customHeight="1" spans="2:31">
      <c r="B9" s="107" t="s">
        <v>168</v>
      </c>
      <c r="C9" s="136"/>
      <c r="D9" s="109">
        <v>99</v>
      </c>
      <c r="E9" s="109">
        <v>0</v>
      </c>
      <c r="F9" s="109">
        <v>0</v>
      </c>
      <c r="G9" s="109">
        <v>0</v>
      </c>
      <c r="H9" s="109">
        <v>0</v>
      </c>
      <c r="I9" s="109">
        <v>0</v>
      </c>
      <c r="J9" s="109">
        <v>0</v>
      </c>
      <c r="K9" s="109">
        <v>0</v>
      </c>
      <c r="L9" s="109">
        <v>0</v>
      </c>
      <c r="M9" s="109">
        <v>0</v>
      </c>
      <c r="N9" s="109">
        <v>0</v>
      </c>
      <c r="O9" s="109">
        <v>0</v>
      </c>
      <c r="P9" s="137">
        <f>SUM(CostofSales[[#This Row],[1 月]:[12 月]])</f>
        <v>99</v>
      </c>
      <c r="Q9" s="111">
        <v>0.19</v>
      </c>
      <c r="R9" s="138">
        <f t="shared" ref="R9:AD9" si="2">D9/D$14</f>
        <v>0.5</v>
      </c>
      <c r="S9" s="138" t="e">
        <f t="shared" si="2"/>
        <v>#DIV/0!</v>
      </c>
      <c r="T9" s="138" t="e">
        <f t="shared" si="2"/>
        <v>#DIV/0!</v>
      </c>
      <c r="U9" s="138" t="e">
        <f t="shared" si="2"/>
        <v>#DIV/0!</v>
      </c>
      <c r="V9" s="138" t="e">
        <f t="shared" si="2"/>
        <v>#DIV/0!</v>
      </c>
      <c r="W9" s="138" t="e">
        <f t="shared" si="2"/>
        <v>#DIV/0!</v>
      </c>
      <c r="X9" s="138" t="e">
        <f t="shared" si="2"/>
        <v>#DIV/0!</v>
      </c>
      <c r="Y9" s="138" t="e">
        <f t="shared" si="2"/>
        <v>#DIV/0!</v>
      </c>
      <c r="Z9" s="138" t="e">
        <f t="shared" si="2"/>
        <v>#DIV/0!</v>
      </c>
      <c r="AA9" s="138" t="e">
        <f t="shared" si="2"/>
        <v>#DIV/0!</v>
      </c>
      <c r="AB9" s="138" t="e">
        <f t="shared" si="2"/>
        <v>#DIV/0!</v>
      </c>
      <c r="AC9" s="138" t="e">
        <f t="shared" si="2"/>
        <v>#DIV/0!</v>
      </c>
      <c r="AD9" s="138">
        <f t="shared" si="2"/>
        <v>0.5</v>
      </c>
    </row>
    <row r="10" customHeight="1" spans="2:31">
      <c r="B10" s="107" t="s">
        <v>229</v>
      </c>
      <c r="C10" s="136"/>
      <c r="D10" s="109">
        <v>13</v>
      </c>
      <c r="E10" s="109">
        <v>0</v>
      </c>
      <c r="F10" s="109">
        <v>0</v>
      </c>
      <c r="G10" s="109">
        <v>0</v>
      </c>
      <c r="H10" s="109">
        <v>0</v>
      </c>
      <c r="I10" s="109">
        <v>0</v>
      </c>
      <c r="J10" s="109">
        <v>0</v>
      </c>
      <c r="K10" s="109">
        <v>0</v>
      </c>
      <c r="L10" s="109">
        <v>0</v>
      </c>
      <c r="M10" s="109">
        <v>0</v>
      </c>
      <c r="N10" s="109">
        <v>0</v>
      </c>
      <c r="O10" s="109">
        <v>0</v>
      </c>
      <c r="P10" s="137">
        <f>SUM(CostofSales[[#This Row],[1 月]:[12 月]])</f>
        <v>13</v>
      </c>
      <c r="Q10" s="111">
        <v>0.11</v>
      </c>
      <c r="R10" s="138">
        <f t="shared" ref="R10:AD10" si="3">D10/D$14</f>
        <v>0.0656565656565657</v>
      </c>
      <c r="S10" s="138" t="e">
        <f t="shared" si="3"/>
        <v>#DIV/0!</v>
      </c>
      <c r="T10" s="138" t="e">
        <f t="shared" si="3"/>
        <v>#DIV/0!</v>
      </c>
      <c r="U10" s="138" t="e">
        <f t="shared" si="3"/>
        <v>#DIV/0!</v>
      </c>
      <c r="V10" s="138" t="e">
        <f t="shared" si="3"/>
        <v>#DIV/0!</v>
      </c>
      <c r="W10" s="138" t="e">
        <f t="shared" si="3"/>
        <v>#DIV/0!</v>
      </c>
      <c r="X10" s="138" t="e">
        <f t="shared" si="3"/>
        <v>#DIV/0!</v>
      </c>
      <c r="Y10" s="138" t="e">
        <f t="shared" si="3"/>
        <v>#DIV/0!</v>
      </c>
      <c r="Z10" s="138" t="e">
        <f t="shared" si="3"/>
        <v>#DIV/0!</v>
      </c>
      <c r="AA10" s="138" t="e">
        <f t="shared" si="3"/>
        <v>#DIV/0!</v>
      </c>
      <c r="AB10" s="138" t="e">
        <f t="shared" si="3"/>
        <v>#DIV/0!</v>
      </c>
      <c r="AC10" s="138" t="e">
        <f t="shared" si="3"/>
        <v>#DIV/0!</v>
      </c>
      <c r="AD10" s="138">
        <f t="shared" si="3"/>
        <v>0.0656565656565657</v>
      </c>
    </row>
    <row r="11" customHeight="1" spans="2:31">
      <c r="B11" s="107" t="s">
        <v>230</v>
      </c>
      <c r="C11" s="136"/>
      <c r="D11" s="109">
        <v>34</v>
      </c>
      <c r="E11" s="109">
        <v>0</v>
      </c>
      <c r="F11" s="109">
        <v>0</v>
      </c>
      <c r="G11" s="109">
        <v>0</v>
      </c>
      <c r="H11" s="109">
        <v>0</v>
      </c>
      <c r="I11" s="109">
        <v>0</v>
      </c>
      <c r="J11" s="109">
        <v>0</v>
      </c>
      <c r="K11" s="109">
        <v>0</v>
      </c>
      <c r="L11" s="109">
        <v>0</v>
      </c>
      <c r="M11" s="109">
        <v>0</v>
      </c>
      <c r="N11" s="109">
        <v>0</v>
      </c>
      <c r="O11" s="109">
        <v>0</v>
      </c>
      <c r="P11" s="137">
        <f>SUM(CostofSales[[#This Row],[1 月]:[12 月]])</f>
        <v>34</v>
      </c>
      <c r="Q11" s="111">
        <v>0.2</v>
      </c>
      <c r="R11" s="138">
        <f t="shared" ref="R11:AD11" si="4">D11/D$14</f>
        <v>0.171717171717172</v>
      </c>
      <c r="S11" s="138" t="e">
        <f t="shared" si="4"/>
        <v>#DIV/0!</v>
      </c>
      <c r="T11" s="138" t="e">
        <f t="shared" si="4"/>
        <v>#DIV/0!</v>
      </c>
      <c r="U11" s="138" t="e">
        <f t="shared" si="4"/>
        <v>#DIV/0!</v>
      </c>
      <c r="V11" s="138" t="e">
        <f t="shared" si="4"/>
        <v>#DIV/0!</v>
      </c>
      <c r="W11" s="138" t="e">
        <f t="shared" si="4"/>
        <v>#DIV/0!</v>
      </c>
      <c r="X11" s="138" t="e">
        <f t="shared" si="4"/>
        <v>#DIV/0!</v>
      </c>
      <c r="Y11" s="138" t="e">
        <f t="shared" si="4"/>
        <v>#DIV/0!</v>
      </c>
      <c r="Z11" s="138" t="e">
        <f t="shared" si="4"/>
        <v>#DIV/0!</v>
      </c>
      <c r="AA11" s="138" t="e">
        <f t="shared" si="4"/>
        <v>#DIV/0!</v>
      </c>
      <c r="AB11" s="138" t="e">
        <f t="shared" si="4"/>
        <v>#DIV/0!</v>
      </c>
      <c r="AC11" s="138" t="e">
        <f t="shared" si="4"/>
        <v>#DIV/0!</v>
      </c>
      <c r="AD11" s="138">
        <f t="shared" si="4"/>
        <v>0.171717171717172</v>
      </c>
    </row>
    <row r="12" customHeight="1" spans="2:31">
      <c r="B12" s="107" t="s">
        <v>171</v>
      </c>
      <c r="C12" s="136"/>
      <c r="D12" s="109">
        <v>33</v>
      </c>
      <c r="E12" s="109">
        <v>0</v>
      </c>
      <c r="F12" s="109">
        <v>0</v>
      </c>
      <c r="G12" s="109">
        <v>0</v>
      </c>
      <c r="H12" s="109">
        <v>0</v>
      </c>
      <c r="I12" s="109">
        <v>0</v>
      </c>
      <c r="J12" s="109">
        <v>0</v>
      </c>
      <c r="K12" s="109">
        <v>0</v>
      </c>
      <c r="L12" s="109">
        <v>0</v>
      </c>
      <c r="M12" s="109">
        <v>0</v>
      </c>
      <c r="N12" s="109">
        <v>0</v>
      </c>
      <c r="O12" s="109">
        <v>0</v>
      </c>
      <c r="P12" s="137">
        <f>SUM(CostofSales[[#This Row],[1 月]:[12 月]])</f>
        <v>33</v>
      </c>
      <c r="Q12" s="111">
        <v>0.1</v>
      </c>
      <c r="R12" s="138">
        <f t="shared" ref="R12:AD12" si="5">D12/D$14</f>
        <v>0.166666666666667</v>
      </c>
      <c r="S12" s="138" t="e">
        <f t="shared" si="5"/>
        <v>#DIV/0!</v>
      </c>
      <c r="T12" s="138" t="e">
        <f t="shared" si="5"/>
        <v>#DIV/0!</v>
      </c>
      <c r="U12" s="138" t="e">
        <f t="shared" si="5"/>
        <v>#DIV/0!</v>
      </c>
      <c r="V12" s="138" t="e">
        <f t="shared" si="5"/>
        <v>#DIV/0!</v>
      </c>
      <c r="W12" s="138" t="e">
        <f t="shared" si="5"/>
        <v>#DIV/0!</v>
      </c>
      <c r="X12" s="138" t="e">
        <f t="shared" si="5"/>
        <v>#DIV/0!</v>
      </c>
      <c r="Y12" s="138" t="e">
        <f t="shared" si="5"/>
        <v>#DIV/0!</v>
      </c>
      <c r="Z12" s="138" t="e">
        <f t="shared" si="5"/>
        <v>#DIV/0!</v>
      </c>
      <c r="AA12" s="138" t="e">
        <f t="shared" si="5"/>
        <v>#DIV/0!</v>
      </c>
      <c r="AB12" s="138" t="e">
        <f t="shared" si="5"/>
        <v>#DIV/0!</v>
      </c>
      <c r="AC12" s="138" t="e">
        <f t="shared" si="5"/>
        <v>#DIV/0!</v>
      </c>
      <c r="AD12" s="138">
        <f t="shared" si="5"/>
        <v>0.166666666666667</v>
      </c>
    </row>
    <row r="13" customHeight="1" spans="2:31">
      <c r="B13" s="107" t="s">
        <v>163</v>
      </c>
      <c r="C13" s="139"/>
      <c r="D13" s="109">
        <v>18</v>
      </c>
      <c r="E13" s="109">
        <v>0</v>
      </c>
      <c r="F13" s="109">
        <v>0</v>
      </c>
      <c r="G13" s="109">
        <v>0</v>
      </c>
      <c r="H13" s="109">
        <v>0</v>
      </c>
      <c r="I13" s="109">
        <v>0</v>
      </c>
      <c r="J13" s="109">
        <v>0</v>
      </c>
      <c r="K13" s="109">
        <v>0</v>
      </c>
      <c r="L13" s="109">
        <v>0</v>
      </c>
      <c r="M13" s="109">
        <v>0</v>
      </c>
      <c r="N13" s="109">
        <v>0</v>
      </c>
      <c r="O13" s="109">
        <v>0</v>
      </c>
      <c r="P13" s="140">
        <f>SUM(CostofSales[[#This Row],[1 月]:[12 月]])</f>
        <v>18</v>
      </c>
      <c r="Q13" s="111">
        <v>0.1</v>
      </c>
      <c r="R13" s="141">
        <f t="shared" ref="R13:AD13" si="6">D13/D$14</f>
        <v>0.0909090909090909</v>
      </c>
      <c r="S13" s="141" t="e">
        <f t="shared" si="6"/>
        <v>#DIV/0!</v>
      </c>
      <c r="T13" s="141" t="e">
        <f t="shared" si="6"/>
        <v>#DIV/0!</v>
      </c>
      <c r="U13" s="141" t="e">
        <f t="shared" si="6"/>
        <v>#DIV/0!</v>
      </c>
      <c r="V13" s="141" t="e">
        <f t="shared" si="6"/>
        <v>#DIV/0!</v>
      </c>
      <c r="W13" s="141" t="e">
        <f t="shared" si="6"/>
        <v>#DIV/0!</v>
      </c>
      <c r="X13" s="141" t="e">
        <f t="shared" si="6"/>
        <v>#DIV/0!</v>
      </c>
      <c r="Y13" s="141" t="e">
        <f t="shared" si="6"/>
        <v>#DIV/0!</v>
      </c>
      <c r="Z13" s="141" t="e">
        <f t="shared" si="6"/>
        <v>#DIV/0!</v>
      </c>
      <c r="AA13" s="141" t="e">
        <f t="shared" si="6"/>
        <v>#DIV/0!</v>
      </c>
      <c r="AB13" s="141" t="e">
        <f t="shared" si="6"/>
        <v>#DIV/0!</v>
      </c>
      <c r="AC13" s="141" t="e">
        <f t="shared" si="6"/>
        <v>#DIV/0!</v>
      </c>
      <c r="AD13" s="141">
        <f t="shared" si="6"/>
        <v>0.0909090909090909</v>
      </c>
    </row>
    <row r="14" customHeight="1" spans="2:31">
      <c r="B14" s="119" t="s">
        <v>231</v>
      </c>
      <c r="C14" s="142"/>
      <c r="D14" s="120">
        <f t="shared" ref="D14:O14" si="7">SUM(D7:D10,D13)</f>
        <v>198</v>
      </c>
      <c r="E14" s="120">
        <f t="shared" si="7"/>
        <v>0</v>
      </c>
      <c r="F14" s="120">
        <f t="shared" si="7"/>
        <v>0</v>
      </c>
      <c r="G14" s="120">
        <f t="shared" si="7"/>
        <v>0</v>
      </c>
      <c r="H14" s="120">
        <f t="shared" si="7"/>
        <v>0</v>
      </c>
      <c r="I14" s="120">
        <f t="shared" si="7"/>
        <v>0</v>
      </c>
      <c r="J14" s="120">
        <f t="shared" si="7"/>
        <v>0</v>
      </c>
      <c r="K14" s="120">
        <f t="shared" si="7"/>
        <v>0</v>
      </c>
      <c r="L14" s="120">
        <f t="shared" si="7"/>
        <v>0</v>
      </c>
      <c r="M14" s="120">
        <f t="shared" si="7"/>
        <v>0</v>
      </c>
      <c r="N14" s="120">
        <f t="shared" si="7"/>
        <v>0</v>
      </c>
      <c r="O14" s="120">
        <f t="shared" si="7"/>
        <v>0</v>
      </c>
      <c r="P14" s="143">
        <f>SUM(CostofSales[[#This Row],[1 月]:[12 月]])</f>
        <v>198</v>
      </c>
      <c r="Q14" s="122">
        <f>SUM(Q7:Q13)</f>
        <v>1</v>
      </c>
      <c r="R14" s="144">
        <f t="shared" ref="R14:AD14" si="8">D14/D$14</f>
        <v>1</v>
      </c>
      <c r="S14" s="144" t="e">
        <f t="shared" si="8"/>
        <v>#DIV/0!</v>
      </c>
      <c r="T14" s="144" t="e">
        <f t="shared" si="8"/>
        <v>#DIV/0!</v>
      </c>
      <c r="U14" s="144" t="e">
        <f t="shared" si="8"/>
        <v>#DIV/0!</v>
      </c>
      <c r="V14" s="144" t="e">
        <f t="shared" si="8"/>
        <v>#DIV/0!</v>
      </c>
      <c r="W14" s="144" t="e">
        <f t="shared" si="8"/>
        <v>#DIV/0!</v>
      </c>
      <c r="X14" s="144" t="e">
        <f t="shared" si="8"/>
        <v>#DIV/0!</v>
      </c>
      <c r="Y14" s="144" t="e">
        <f t="shared" si="8"/>
        <v>#DIV/0!</v>
      </c>
      <c r="Z14" s="144" t="e">
        <f t="shared" si="8"/>
        <v>#DIV/0!</v>
      </c>
      <c r="AA14" s="144" t="e">
        <f t="shared" si="8"/>
        <v>#DIV/0!</v>
      </c>
      <c r="AB14" s="144" t="e">
        <f t="shared" si="8"/>
        <v>#DIV/0!</v>
      </c>
      <c r="AC14" s="144" t="e">
        <f t="shared" si="8"/>
        <v>#DIV/0!</v>
      </c>
      <c r="AD14" s="144">
        <f t="shared" si="8"/>
        <v>1</v>
      </c>
    </row>
    <row r="15" customHeight="1" spans="2:31">
      <c r="B15" s="105" t="s">
        <v>232</v>
      </c>
      <c r="C15" s="105"/>
      <c r="D15" s="124">
        <f>收入!D14-D14</f>
        <v>533</v>
      </c>
      <c r="E15" s="124">
        <f>收入!E14-E14</f>
        <v>0</v>
      </c>
      <c r="F15" s="124">
        <f>收入!F14-F14</f>
        <v>0</v>
      </c>
      <c r="G15" s="124">
        <f>收入!G14-G14</f>
        <v>0</v>
      </c>
      <c r="H15" s="124">
        <f>收入!H14-H14</f>
        <v>0</v>
      </c>
      <c r="I15" s="124">
        <f>收入!I14-I14</f>
        <v>0</v>
      </c>
      <c r="J15" s="124">
        <f>收入!J14-J14</f>
        <v>0</v>
      </c>
      <c r="K15" s="124">
        <f>收入!K14-K14</f>
        <v>0</v>
      </c>
      <c r="L15" s="124">
        <f>收入!L14-L14</f>
        <v>0</v>
      </c>
      <c r="M15" s="124">
        <f>收入!M14-M14</f>
        <v>0</v>
      </c>
      <c r="N15" s="124">
        <f>收入!N14-N14</f>
        <v>0</v>
      </c>
      <c r="O15" s="124">
        <f>收入!O14-O14</f>
        <v>0</v>
      </c>
      <c r="P15" s="124">
        <f>收入!P14-P14</f>
        <v>533</v>
      </c>
      <c r="Q15" s="125"/>
      <c r="R15" s="125"/>
      <c r="S15" s="125"/>
      <c r="T15" s="125"/>
      <c r="U15" s="125"/>
      <c r="V15" s="125"/>
      <c r="W15" s="125"/>
      <c r="X15" s="125"/>
      <c r="Y15" s="125"/>
      <c r="Z15" s="125"/>
      <c r="AA15" s="125"/>
      <c r="AB15" s="125"/>
      <c r="AC15" s="125"/>
      <c r="AD15" s="125"/>
    </row>
    <row r="17" customHeight="1" spans="16:16">
      <c r="P17" s="126"/>
    </row>
  </sheetData>
  <dataValidations count="9">
    <dataValidation allowBlank="1" showInputMessage="1" showErrorMessage="1" prompt="此工作表计算各项目的每月和每年销售总成本以及年度销售成本。将根据各条目自动计算毛利润。" sqref="A1"/>
    <dataValidation allowBlank="1" showInputMessage="1" showErrorMessage="1" prompt="公司名称将根据“收入（销售额）”工作表中的条目自动更新" sqref="B2"/>
    <dataValidation allowBlank="1" showInputMessage="1" showErrorMessage="1" prompt="根据“收入（销售额）”工作表自动更新的标题。在下面的“支出”表中输入值，以便计算总支出" sqref="B4"/>
    <dataValidation allowBlank="1" showInputMessage="1" showErrorMessage="1" prompt="在此列中输入支出" sqref="B6"/>
    <dataValidation allowBlank="1" showInputMessage="1" showErrorMessage="1" prompt="此列是随时间推移的支出趋势图" sqref="C6"/>
    <dataValidation allowBlank="1" showInputMessage="1" showErrorMessage="1" prompt="“年度支出”在此列中自动计算" sqref="P6"/>
    <dataValidation allowBlank="1" showInputMessage="1" showErrorMessage="1" prompt="指数率位于此列中" sqref="Q6"/>
    <dataValidation allowBlank="1" showInputMessage="1" showErrorMessage="1" prompt="针对此单元格中的月份，在此列中自动计算不同源的支出占该月总支出的比例" sqref="R6:AC6"/>
    <dataValidation allowBlank="1" showInputMessage="1" showErrorMessage="1" prompt="在此列中自动计算不同源的支出占该年总支出的比例" sqref="AD6"/>
  </dataValidations>
  <printOptions horizontalCentered="1"/>
  <pageMargins left="0.25" right="0.25" top="0.75" bottom="0.75" header="0.3" footer="0.3"/>
  <pageSetup paperSize="9" scale="37" fitToHeight="0" orientation="landscape"/>
  <headerFooter differentFirst="1"/>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E32"/>
  <sheetViews>
    <sheetView showGridLines="0" topLeftCell="A4" workbookViewId="0">
      <selection activeCell="E5" sqref="E5"/>
    </sheetView>
  </sheetViews>
  <sheetFormatPr defaultColWidth="10" defaultRowHeight="30" customHeight="1"/>
  <cols>
    <col min="1" max="1" width="5.66666666666667" style="84" customWidth="1"/>
    <col min="2" max="3" width="35.6666666666667" style="84" customWidth="1"/>
    <col min="4" max="30" width="10.6666666666667" style="84" customWidth="1"/>
    <col min="31" max="31" width="5.66666666666667" style="84" customWidth="1"/>
    <col min="32" max="16384" width="10" style="84" customWidth="1"/>
  </cols>
  <sheetData>
    <row r="1" ht="25" customHeight="1" spans="2:31">
      <c r="B1" s="85"/>
      <c r="C1" s="85"/>
      <c r="AE1" s="84" t="s">
        <v>62</v>
      </c>
    </row>
    <row r="2" s="82" customFormat="1" ht="60" customHeight="1" spans="2:31">
      <c r="B2" s="86" t="str">
        <f>Company_Name</f>
        <v>化妆工作室</v>
      </c>
      <c r="C2" s="86"/>
      <c r="Q2" s="87"/>
      <c r="R2" s="87"/>
      <c r="S2" s="87"/>
      <c r="T2" s="87"/>
      <c r="U2" s="87"/>
      <c r="V2" s="87"/>
      <c r="W2" s="87"/>
      <c r="X2" s="87"/>
      <c r="Y2" s="87"/>
      <c r="Z2" s="87"/>
      <c r="AA2" s="88"/>
      <c r="AB2" s="89"/>
      <c r="AC2" s="88"/>
    </row>
    <row r="3" ht="10" customHeight="1" spans="2:31">
      <c r="B3" s="90"/>
      <c r="C3" s="91"/>
      <c r="J3" s="92"/>
      <c r="Q3" s="93"/>
      <c r="R3" s="93"/>
      <c r="S3" s="93"/>
      <c r="T3" s="93"/>
      <c r="U3" s="93"/>
      <c r="V3" s="93"/>
      <c r="W3" s="93"/>
      <c r="X3" s="93"/>
      <c r="Y3" s="93"/>
      <c r="Z3" s="93"/>
      <c r="AA3" s="94"/>
      <c r="AB3" s="95"/>
      <c r="AC3" s="94"/>
      <c r="AD3" s="96"/>
    </row>
    <row r="4" ht="50" customHeight="1" spans="2:31">
      <c r="B4" s="97" t="str">
        <f>Wksht_Title</f>
        <v>损益预测</v>
      </c>
      <c r="C4" s="97"/>
      <c r="D4" s="98"/>
      <c r="E4" s="99"/>
      <c r="F4" s="98"/>
      <c r="G4" s="99"/>
      <c r="H4" s="98"/>
      <c r="I4" s="98"/>
      <c r="J4" s="98"/>
      <c r="K4" s="99"/>
      <c r="L4" s="99"/>
      <c r="M4" s="99"/>
      <c r="N4" s="99"/>
      <c r="O4" s="99"/>
      <c r="P4" s="98"/>
      <c r="Q4" s="98"/>
      <c r="R4" s="98"/>
      <c r="S4" s="98"/>
      <c r="T4" s="98"/>
      <c r="U4" s="98"/>
      <c r="V4" s="98"/>
      <c r="W4" s="98"/>
      <c r="X4" s="100"/>
      <c r="Y4" s="100"/>
      <c r="Z4" s="100"/>
      <c r="AA4" s="101"/>
      <c r="AB4" s="98"/>
      <c r="AC4" s="98"/>
      <c r="AD4" s="98"/>
    </row>
    <row r="5" ht="25" customHeight="1" spans="2:31">
      <c r="E5" s="102"/>
      <c r="G5" s="102"/>
      <c r="K5" s="102"/>
      <c r="L5" s="102"/>
      <c r="M5" s="102"/>
      <c r="N5" s="102"/>
      <c r="O5" s="102"/>
      <c r="X5" s="103"/>
      <c r="Y5" s="103"/>
      <c r="Z5" s="103"/>
      <c r="AA5" s="103"/>
      <c r="AB5" s="104"/>
      <c r="AC5" s="104"/>
      <c r="AD5" s="104"/>
    </row>
    <row r="6" s="83" customFormat="1" customHeight="1" spans="2:31">
      <c r="B6" s="105" t="s">
        <v>233</v>
      </c>
      <c r="C6" s="105" t="s">
        <v>191</v>
      </c>
      <c r="D6" s="106" t="s">
        <v>192</v>
      </c>
      <c r="E6" s="106" t="s">
        <v>193</v>
      </c>
      <c r="F6" s="106" t="s">
        <v>194</v>
      </c>
      <c r="G6" s="106" t="s">
        <v>195</v>
      </c>
      <c r="H6" s="106" t="s">
        <v>196</v>
      </c>
      <c r="I6" s="106" t="s">
        <v>197</v>
      </c>
      <c r="J6" s="106" t="s">
        <v>198</v>
      </c>
      <c r="K6" s="106" t="s">
        <v>199</v>
      </c>
      <c r="L6" s="106" t="s">
        <v>200</v>
      </c>
      <c r="M6" s="106" t="s">
        <v>201</v>
      </c>
      <c r="N6" s="106" t="s">
        <v>202</v>
      </c>
      <c r="O6" s="106" t="s">
        <v>203</v>
      </c>
      <c r="P6" s="106" t="s">
        <v>204</v>
      </c>
      <c r="Q6" s="106" t="s">
        <v>227</v>
      </c>
      <c r="R6" s="106" t="s">
        <v>206</v>
      </c>
      <c r="S6" s="106" t="s">
        <v>207</v>
      </c>
      <c r="T6" s="106" t="s">
        <v>208</v>
      </c>
      <c r="U6" s="106" t="s">
        <v>209</v>
      </c>
      <c r="V6" s="106" t="s">
        <v>210</v>
      </c>
      <c r="W6" s="106" t="s">
        <v>211</v>
      </c>
      <c r="X6" s="106" t="s">
        <v>212</v>
      </c>
      <c r="Y6" s="106" t="s">
        <v>213</v>
      </c>
      <c r="Z6" s="106" t="s">
        <v>214</v>
      </c>
      <c r="AA6" s="106" t="s">
        <v>215</v>
      </c>
      <c r="AB6" s="106" t="s">
        <v>216</v>
      </c>
      <c r="AC6" s="106" t="s">
        <v>217</v>
      </c>
      <c r="AD6" s="106" t="s">
        <v>218</v>
      </c>
    </row>
    <row r="7" s="83" customFormat="1" customHeight="1" spans="2:31">
      <c r="B7" s="107" t="s">
        <v>234</v>
      </c>
      <c r="C7" s="108" t="s">
        <v>62</v>
      </c>
      <c r="D7" s="109">
        <v>10</v>
      </c>
      <c r="E7" s="109">
        <v>18</v>
      </c>
      <c r="F7" s="109">
        <v>13</v>
      </c>
      <c r="G7" s="109">
        <v>8</v>
      </c>
      <c r="H7" s="109">
        <v>22</v>
      </c>
      <c r="I7" s="109">
        <v>18</v>
      </c>
      <c r="J7" s="109">
        <v>8</v>
      </c>
      <c r="K7" s="109">
        <v>17</v>
      </c>
      <c r="L7" s="109">
        <v>20</v>
      </c>
      <c r="M7" s="109">
        <v>8</v>
      </c>
      <c r="N7" s="109">
        <v>4</v>
      </c>
      <c r="O7" s="109">
        <v>12</v>
      </c>
      <c r="P7" s="110">
        <f>SUM(tblExpenses[[#This Row],[1 月]:[12 月]])</f>
        <v>158</v>
      </c>
      <c r="Q7" s="111">
        <v>0.12</v>
      </c>
      <c r="R7" s="112">
        <f t="shared" ref="R7:AD7" si="0">D7/D$26</f>
        <v>0.0423728813559322</v>
      </c>
      <c r="S7" s="112">
        <f t="shared" si="0"/>
        <v>0.0878048780487805</v>
      </c>
      <c r="T7" s="112">
        <f t="shared" si="0"/>
        <v>0.0522088353413655</v>
      </c>
      <c r="U7" s="112">
        <f t="shared" si="0"/>
        <v>0.0306513409961686</v>
      </c>
      <c r="V7" s="112">
        <f t="shared" si="0"/>
        <v>0.0856031128404669</v>
      </c>
      <c r="W7" s="112">
        <f t="shared" si="0"/>
        <v>0.0656934306569343</v>
      </c>
      <c r="X7" s="112">
        <f t="shared" si="0"/>
        <v>0.0300751879699248</v>
      </c>
      <c r="Y7" s="112">
        <f t="shared" si="0"/>
        <v>0.0723404255319149</v>
      </c>
      <c r="Z7" s="112">
        <f t="shared" si="0"/>
        <v>0.0869565217391304</v>
      </c>
      <c r="AA7" s="112">
        <f t="shared" si="0"/>
        <v>0.0308880308880309</v>
      </c>
      <c r="AB7" s="112">
        <f t="shared" si="0"/>
        <v>0.0135135135135135</v>
      </c>
      <c r="AC7" s="112">
        <f t="shared" si="0"/>
        <v>0.051948051948052</v>
      </c>
      <c r="AD7" s="113">
        <f t="shared" si="0"/>
        <v>0.0526842280760253</v>
      </c>
    </row>
    <row r="8" s="83" customFormat="1" customHeight="1" spans="2:31">
      <c r="B8" s="107" t="s">
        <v>235</v>
      </c>
      <c r="C8" s="114" t="s">
        <v>62</v>
      </c>
      <c r="D8" s="109">
        <v>23</v>
      </c>
      <c r="E8" s="109">
        <v>11</v>
      </c>
      <c r="F8" s="109">
        <v>7</v>
      </c>
      <c r="G8" s="109">
        <v>14</v>
      </c>
      <c r="H8" s="109">
        <v>12</v>
      </c>
      <c r="I8" s="109">
        <v>19</v>
      </c>
      <c r="J8" s="109">
        <v>19</v>
      </c>
      <c r="K8" s="109">
        <v>4</v>
      </c>
      <c r="L8" s="109">
        <v>7</v>
      </c>
      <c r="M8" s="109">
        <v>13</v>
      </c>
      <c r="N8" s="109">
        <v>25</v>
      </c>
      <c r="O8" s="109">
        <v>5</v>
      </c>
      <c r="P8" s="115">
        <f>SUM(tblExpenses[[#This Row],[1 月]:[12 月]])</f>
        <v>159</v>
      </c>
      <c r="Q8" s="111">
        <v>0.09</v>
      </c>
      <c r="R8" s="116">
        <f t="shared" ref="R8:AD8" si="1">D8/D$26</f>
        <v>0.0974576271186441</v>
      </c>
      <c r="S8" s="116">
        <f t="shared" si="1"/>
        <v>0.0536585365853659</v>
      </c>
      <c r="T8" s="116">
        <f t="shared" si="1"/>
        <v>0.0281124497991968</v>
      </c>
      <c r="U8" s="116">
        <f t="shared" si="1"/>
        <v>0.053639846743295</v>
      </c>
      <c r="V8" s="116">
        <f t="shared" si="1"/>
        <v>0.0466926070038911</v>
      </c>
      <c r="W8" s="116">
        <f t="shared" si="1"/>
        <v>0.0693430656934307</v>
      </c>
      <c r="X8" s="116">
        <f t="shared" si="1"/>
        <v>0.0714285714285714</v>
      </c>
      <c r="Y8" s="116">
        <f t="shared" si="1"/>
        <v>0.0170212765957447</v>
      </c>
      <c r="Z8" s="116">
        <f t="shared" si="1"/>
        <v>0.0304347826086957</v>
      </c>
      <c r="AA8" s="116">
        <f t="shared" si="1"/>
        <v>0.0501930501930502</v>
      </c>
      <c r="AB8" s="116">
        <f t="shared" si="1"/>
        <v>0.0844594594594595</v>
      </c>
      <c r="AC8" s="116">
        <f t="shared" si="1"/>
        <v>0.0216450216450216</v>
      </c>
      <c r="AD8" s="117">
        <f t="shared" si="1"/>
        <v>0.0530176725575192</v>
      </c>
    </row>
    <row r="9" s="83" customFormat="1" customHeight="1" spans="2:31">
      <c r="B9" s="107" t="s">
        <v>236</v>
      </c>
      <c r="C9" s="114" t="s">
        <v>62</v>
      </c>
      <c r="D9" s="109">
        <v>23</v>
      </c>
      <c r="E9" s="109">
        <v>20</v>
      </c>
      <c r="F9" s="109">
        <v>3</v>
      </c>
      <c r="G9" s="109">
        <v>16</v>
      </c>
      <c r="H9" s="109">
        <v>10</v>
      </c>
      <c r="I9" s="109">
        <v>5</v>
      </c>
      <c r="J9" s="109">
        <v>20</v>
      </c>
      <c r="K9" s="109">
        <v>7</v>
      </c>
      <c r="L9" s="109">
        <v>4</v>
      </c>
      <c r="M9" s="109">
        <v>22</v>
      </c>
      <c r="N9" s="109">
        <v>13</v>
      </c>
      <c r="O9" s="109">
        <v>14</v>
      </c>
      <c r="P9" s="115">
        <f>SUM(tblExpenses[[#This Row],[1 月]:[12 月]])</f>
        <v>157</v>
      </c>
      <c r="Q9" s="111">
        <v>0.02</v>
      </c>
      <c r="R9" s="116">
        <f t="shared" ref="R9:AD9" si="2">D9/D$26</f>
        <v>0.0974576271186441</v>
      </c>
      <c r="S9" s="116">
        <f t="shared" si="2"/>
        <v>0.0975609756097561</v>
      </c>
      <c r="T9" s="116">
        <f t="shared" si="2"/>
        <v>0.0120481927710843</v>
      </c>
      <c r="U9" s="116">
        <f t="shared" si="2"/>
        <v>0.0613026819923372</v>
      </c>
      <c r="V9" s="116">
        <f t="shared" si="2"/>
        <v>0.0389105058365759</v>
      </c>
      <c r="W9" s="116">
        <f t="shared" si="2"/>
        <v>0.0182481751824818</v>
      </c>
      <c r="X9" s="116">
        <f t="shared" si="2"/>
        <v>0.075187969924812</v>
      </c>
      <c r="Y9" s="116">
        <f t="shared" si="2"/>
        <v>0.0297872340425532</v>
      </c>
      <c r="Z9" s="116">
        <f t="shared" si="2"/>
        <v>0.0173913043478261</v>
      </c>
      <c r="AA9" s="116">
        <f t="shared" si="2"/>
        <v>0.0849420849420849</v>
      </c>
      <c r="AB9" s="116">
        <f t="shared" si="2"/>
        <v>0.0439189189189189</v>
      </c>
      <c r="AC9" s="116">
        <f t="shared" si="2"/>
        <v>0.0606060606060606</v>
      </c>
      <c r="AD9" s="117">
        <f t="shared" si="2"/>
        <v>0.0523507835945315</v>
      </c>
    </row>
    <row r="10" s="83" customFormat="1" customHeight="1" spans="2:31">
      <c r="B10" s="107" t="s">
        <v>237</v>
      </c>
      <c r="C10" s="114" t="s">
        <v>62</v>
      </c>
      <c r="D10" s="109">
        <v>19</v>
      </c>
      <c r="E10" s="109">
        <v>4</v>
      </c>
      <c r="F10" s="109">
        <v>7</v>
      </c>
      <c r="G10" s="109">
        <v>14</v>
      </c>
      <c r="H10" s="109">
        <v>22</v>
      </c>
      <c r="I10" s="109">
        <v>10</v>
      </c>
      <c r="J10" s="109">
        <v>22</v>
      </c>
      <c r="K10" s="109">
        <v>5</v>
      </c>
      <c r="L10" s="109">
        <v>4</v>
      </c>
      <c r="M10" s="109">
        <v>12</v>
      </c>
      <c r="N10" s="109">
        <v>18</v>
      </c>
      <c r="O10" s="109">
        <v>24</v>
      </c>
      <c r="P10" s="115">
        <f>SUM(tblExpenses[[#This Row],[1 月]:[12 月]])</f>
        <v>161</v>
      </c>
      <c r="Q10" s="111">
        <v>0.08</v>
      </c>
      <c r="R10" s="116">
        <f t="shared" ref="R10:AD10" si="3">D10/D$26</f>
        <v>0.0805084745762712</v>
      </c>
      <c r="S10" s="116">
        <f t="shared" si="3"/>
        <v>0.0195121951219512</v>
      </c>
      <c r="T10" s="116">
        <f t="shared" si="3"/>
        <v>0.0281124497991968</v>
      </c>
      <c r="U10" s="116">
        <f t="shared" si="3"/>
        <v>0.053639846743295</v>
      </c>
      <c r="V10" s="116">
        <f t="shared" si="3"/>
        <v>0.0856031128404669</v>
      </c>
      <c r="W10" s="116">
        <f t="shared" si="3"/>
        <v>0.0364963503649635</v>
      </c>
      <c r="X10" s="116">
        <f t="shared" si="3"/>
        <v>0.0827067669172932</v>
      </c>
      <c r="Y10" s="116">
        <f t="shared" si="3"/>
        <v>0.0212765957446809</v>
      </c>
      <c r="Z10" s="116">
        <f t="shared" si="3"/>
        <v>0.0173913043478261</v>
      </c>
      <c r="AA10" s="116">
        <f t="shared" si="3"/>
        <v>0.0463320463320463</v>
      </c>
      <c r="AB10" s="116">
        <f t="shared" si="3"/>
        <v>0.0608108108108108</v>
      </c>
      <c r="AC10" s="116">
        <f t="shared" si="3"/>
        <v>0.103896103896104</v>
      </c>
      <c r="AD10" s="117">
        <f t="shared" si="3"/>
        <v>0.0536845615205068</v>
      </c>
    </row>
    <row r="11" s="83" customFormat="1" customHeight="1" spans="2:31">
      <c r="B11" s="107" t="s">
        <v>180</v>
      </c>
      <c r="C11" s="114" t="s">
        <v>62</v>
      </c>
      <c r="D11" s="109">
        <v>11</v>
      </c>
      <c r="E11" s="109">
        <v>11</v>
      </c>
      <c r="F11" s="109">
        <v>17</v>
      </c>
      <c r="G11" s="109">
        <v>12</v>
      </c>
      <c r="H11" s="109">
        <v>2</v>
      </c>
      <c r="I11" s="109">
        <v>14</v>
      </c>
      <c r="J11" s="109">
        <v>12</v>
      </c>
      <c r="K11" s="109">
        <v>10</v>
      </c>
      <c r="L11" s="109">
        <v>18</v>
      </c>
      <c r="M11" s="109">
        <v>11</v>
      </c>
      <c r="N11" s="109">
        <v>23</v>
      </c>
      <c r="O11" s="109">
        <v>11</v>
      </c>
      <c r="P11" s="115">
        <f>SUM(tblExpenses[[#This Row],[1 月]:[12 月]])</f>
        <v>152</v>
      </c>
      <c r="Q11" s="111">
        <v>0.03</v>
      </c>
      <c r="R11" s="116">
        <f t="shared" ref="R11:AD11" si="4">D11/D$26</f>
        <v>0.0466101694915254</v>
      </c>
      <c r="S11" s="116">
        <f t="shared" si="4"/>
        <v>0.0536585365853659</v>
      </c>
      <c r="T11" s="116">
        <f t="shared" si="4"/>
        <v>0.0682730923694779</v>
      </c>
      <c r="U11" s="116">
        <f t="shared" si="4"/>
        <v>0.0459770114942529</v>
      </c>
      <c r="V11" s="116">
        <f t="shared" si="4"/>
        <v>0.00778210116731518</v>
      </c>
      <c r="W11" s="116">
        <f t="shared" si="4"/>
        <v>0.0510948905109489</v>
      </c>
      <c r="X11" s="116">
        <f t="shared" si="4"/>
        <v>0.0451127819548872</v>
      </c>
      <c r="Y11" s="116">
        <f t="shared" si="4"/>
        <v>0.0425531914893617</v>
      </c>
      <c r="Z11" s="116">
        <f t="shared" si="4"/>
        <v>0.0782608695652174</v>
      </c>
      <c r="AA11" s="116">
        <f t="shared" si="4"/>
        <v>0.0424710424710425</v>
      </c>
      <c r="AB11" s="116">
        <f t="shared" si="4"/>
        <v>0.0777027027027027</v>
      </c>
      <c r="AC11" s="116">
        <f t="shared" si="4"/>
        <v>0.0476190476190476</v>
      </c>
      <c r="AD11" s="117">
        <f t="shared" si="4"/>
        <v>0.0506835611870624</v>
      </c>
    </row>
    <row r="12" s="83" customFormat="1" customHeight="1" spans="2:31">
      <c r="B12" s="107" t="s">
        <v>238</v>
      </c>
      <c r="C12" s="114" t="s">
        <v>62</v>
      </c>
      <c r="D12" s="109">
        <v>2</v>
      </c>
      <c r="E12" s="109">
        <v>16</v>
      </c>
      <c r="F12" s="109">
        <v>6</v>
      </c>
      <c r="G12" s="109">
        <v>13</v>
      </c>
      <c r="H12" s="109">
        <v>11</v>
      </c>
      <c r="I12" s="109">
        <v>22</v>
      </c>
      <c r="J12" s="109">
        <v>21</v>
      </c>
      <c r="K12" s="109">
        <v>3</v>
      </c>
      <c r="L12" s="109">
        <v>12</v>
      </c>
      <c r="M12" s="109">
        <v>7</v>
      </c>
      <c r="N12" s="109">
        <v>17</v>
      </c>
      <c r="O12" s="109">
        <v>20</v>
      </c>
      <c r="P12" s="115">
        <f>SUM(tblExpenses[[#This Row],[1 月]:[12 月]])</f>
        <v>150</v>
      </c>
      <c r="Q12" s="111">
        <v>0.15</v>
      </c>
      <c r="R12" s="116">
        <f t="shared" ref="R12:AD12" si="5">D12/D$26</f>
        <v>0.00847457627118644</v>
      </c>
      <c r="S12" s="116">
        <f t="shared" si="5"/>
        <v>0.0780487804878049</v>
      </c>
      <c r="T12" s="116">
        <f t="shared" si="5"/>
        <v>0.0240963855421687</v>
      </c>
      <c r="U12" s="116">
        <f t="shared" si="5"/>
        <v>0.0498084291187739</v>
      </c>
      <c r="V12" s="116">
        <f t="shared" si="5"/>
        <v>0.0428015564202335</v>
      </c>
      <c r="W12" s="116">
        <f t="shared" si="5"/>
        <v>0.0802919708029197</v>
      </c>
      <c r="X12" s="116">
        <f t="shared" si="5"/>
        <v>0.0789473684210526</v>
      </c>
      <c r="Y12" s="116">
        <f t="shared" si="5"/>
        <v>0.0127659574468085</v>
      </c>
      <c r="Z12" s="116">
        <f t="shared" si="5"/>
        <v>0.0521739130434783</v>
      </c>
      <c r="AA12" s="116">
        <f t="shared" si="5"/>
        <v>0.027027027027027</v>
      </c>
      <c r="AB12" s="116">
        <f t="shared" si="5"/>
        <v>0.0574324324324324</v>
      </c>
      <c r="AC12" s="116">
        <f t="shared" si="5"/>
        <v>0.0865800865800866</v>
      </c>
      <c r="AD12" s="117">
        <f t="shared" si="5"/>
        <v>0.0500166722240747</v>
      </c>
    </row>
    <row r="13" s="83" customFormat="1" customHeight="1" spans="2:31">
      <c r="B13" s="107" t="s">
        <v>239</v>
      </c>
      <c r="C13" s="114" t="s">
        <v>62</v>
      </c>
      <c r="D13" s="109">
        <v>8</v>
      </c>
      <c r="E13" s="109">
        <v>17</v>
      </c>
      <c r="F13" s="109">
        <v>11</v>
      </c>
      <c r="G13" s="109">
        <v>11</v>
      </c>
      <c r="H13" s="109">
        <v>21</v>
      </c>
      <c r="I13" s="109">
        <v>9</v>
      </c>
      <c r="J13" s="109">
        <v>20</v>
      </c>
      <c r="K13" s="109">
        <v>3</v>
      </c>
      <c r="L13" s="109">
        <v>14</v>
      </c>
      <c r="M13" s="109">
        <v>22</v>
      </c>
      <c r="N13" s="109">
        <v>16</v>
      </c>
      <c r="O13" s="109">
        <v>12</v>
      </c>
      <c r="P13" s="115">
        <f>SUM(tblExpenses[[#This Row],[1 月]:[12 月]])</f>
        <v>164</v>
      </c>
      <c r="Q13" s="111">
        <v>0.12</v>
      </c>
      <c r="R13" s="116">
        <f t="shared" ref="R13:AD13" si="6">D13/D$26</f>
        <v>0.0338983050847458</v>
      </c>
      <c r="S13" s="116">
        <f t="shared" si="6"/>
        <v>0.0829268292682927</v>
      </c>
      <c r="T13" s="116">
        <f t="shared" si="6"/>
        <v>0.0441767068273092</v>
      </c>
      <c r="U13" s="116">
        <f t="shared" si="6"/>
        <v>0.0421455938697318</v>
      </c>
      <c r="V13" s="116">
        <f t="shared" si="6"/>
        <v>0.0817120622568093</v>
      </c>
      <c r="W13" s="116">
        <f t="shared" si="6"/>
        <v>0.0328467153284672</v>
      </c>
      <c r="X13" s="116">
        <f t="shared" si="6"/>
        <v>0.075187969924812</v>
      </c>
      <c r="Y13" s="116">
        <f t="shared" si="6"/>
        <v>0.0127659574468085</v>
      </c>
      <c r="Z13" s="116">
        <f t="shared" si="6"/>
        <v>0.0608695652173913</v>
      </c>
      <c r="AA13" s="116">
        <f t="shared" si="6"/>
        <v>0.0849420849420849</v>
      </c>
      <c r="AB13" s="116">
        <f t="shared" si="6"/>
        <v>0.0540540540540541</v>
      </c>
      <c r="AC13" s="116">
        <f t="shared" si="6"/>
        <v>0.051948051948052</v>
      </c>
      <c r="AD13" s="117">
        <f t="shared" si="6"/>
        <v>0.0546848949649883</v>
      </c>
    </row>
    <row r="14" s="83" customFormat="1" customHeight="1" spans="2:31">
      <c r="B14" s="107" t="s">
        <v>240</v>
      </c>
      <c r="C14" s="114" t="s">
        <v>62</v>
      </c>
      <c r="D14" s="109">
        <v>5</v>
      </c>
      <c r="E14" s="109">
        <v>13</v>
      </c>
      <c r="F14" s="109">
        <v>6</v>
      </c>
      <c r="G14" s="109">
        <v>15</v>
      </c>
      <c r="H14" s="109">
        <v>19</v>
      </c>
      <c r="I14" s="109">
        <v>10</v>
      </c>
      <c r="J14" s="109">
        <v>12</v>
      </c>
      <c r="K14" s="109">
        <v>9</v>
      </c>
      <c r="L14" s="109">
        <v>15</v>
      </c>
      <c r="M14" s="109">
        <v>16</v>
      </c>
      <c r="N14" s="109">
        <v>4</v>
      </c>
      <c r="O14" s="109">
        <v>9</v>
      </c>
      <c r="P14" s="115">
        <f>SUM(tblExpenses[[#This Row],[1 月]:[12 月]])</f>
        <v>133</v>
      </c>
      <c r="Q14" s="111">
        <v>0.09</v>
      </c>
      <c r="R14" s="116">
        <f t="shared" ref="R14:AD14" si="7">D14/D$26</f>
        <v>0.0211864406779661</v>
      </c>
      <c r="S14" s="116">
        <f t="shared" si="7"/>
        <v>0.0634146341463415</v>
      </c>
      <c r="T14" s="116">
        <f t="shared" si="7"/>
        <v>0.0240963855421687</v>
      </c>
      <c r="U14" s="116">
        <f t="shared" si="7"/>
        <v>0.0574712643678161</v>
      </c>
      <c r="V14" s="116">
        <f t="shared" si="7"/>
        <v>0.0739299610894942</v>
      </c>
      <c r="W14" s="116">
        <f t="shared" si="7"/>
        <v>0.0364963503649635</v>
      </c>
      <c r="X14" s="116">
        <f t="shared" si="7"/>
        <v>0.0451127819548872</v>
      </c>
      <c r="Y14" s="116">
        <f t="shared" si="7"/>
        <v>0.0382978723404255</v>
      </c>
      <c r="Z14" s="116">
        <f t="shared" si="7"/>
        <v>0.0652173913043478</v>
      </c>
      <c r="AA14" s="116">
        <f t="shared" si="7"/>
        <v>0.0617760617760618</v>
      </c>
      <c r="AB14" s="116">
        <f t="shared" si="7"/>
        <v>0.0135135135135135</v>
      </c>
      <c r="AC14" s="116">
        <f t="shared" si="7"/>
        <v>0.038961038961039</v>
      </c>
      <c r="AD14" s="117">
        <f t="shared" si="7"/>
        <v>0.0443481160386796</v>
      </c>
    </row>
    <row r="15" s="83" customFormat="1" customHeight="1" spans="2:31">
      <c r="B15" s="107" t="s">
        <v>173</v>
      </c>
      <c r="C15" s="114" t="s">
        <v>62</v>
      </c>
      <c r="D15" s="109">
        <v>8</v>
      </c>
      <c r="E15" s="109">
        <v>4</v>
      </c>
      <c r="F15" s="109">
        <v>23</v>
      </c>
      <c r="G15" s="109">
        <v>25</v>
      </c>
      <c r="H15" s="109">
        <v>10</v>
      </c>
      <c r="I15" s="109">
        <v>24</v>
      </c>
      <c r="J15" s="109">
        <v>22</v>
      </c>
      <c r="K15" s="109">
        <v>5</v>
      </c>
      <c r="L15" s="109">
        <v>12</v>
      </c>
      <c r="M15" s="109">
        <v>24</v>
      </c>
      <c r="N15" s="109">
        <v>24</v>
      </c>
      <c r="O15" s="109">
        <v>12</v>
      </c>
      <c r="P15" s="115">
        <f>SUM(tblExpenses[[#This Row],[1 月]:[12 月]])</f>
        <v>193</v>
      </c>
      <c r="Q15" s="111">
        <v>0.01</v>
      </c>
      <c r="R15" s="116">
        <f t="shared" ref="R15:AD15" si="8">D15/D$26</f>
        <v>0.0338983050847458</v>
      </c>
      <c r="S15" s="116">
        <f t="shared" si="8"/>
        <v>0.0195121951219512</v>
      </c>
      <c r="T15" s="116">
        <f t="shared" si="8"/>
        <v>0.0923694779116466</v>
      </c>
      <c r="U15" s="116">
        <f t="shared" si="8"/>
        <v>0.0957854406130268</v>
      </c>
      <c r="V15" s="116">
        <f t="shared" si="8"/>
        <v>0.0389105058365759</v>
      </c>
      <c r="W15" s="116">
        <f t="shared" si="8"/>
        <v>0.0875912408759124</v>
      </c>
      <c r="X15" s="116">
        <f t="shared" si="8"/>
        <v>0.0827067669172932</v>
      </c>
      <c r="Y15" s="116">
        <f t="shared" si="8"/>
        <v>0.0212765957446809</v>
      </c>
      <c r="Z15" s="116">
        <f t="shared" si="8"/>
        <v>0.0521739130434783</v>
      </c>
      <c r="AA15" s="116">
        <f t="shared" si="8"/>
        <v>0.0926640926640927</v>
      </c>
      <c r="AB15" s="116">
        <f t="shared" si="8"/>
        <v>0.0810810810810811</v>
      </c>
      <c r="AC15" s="116">
        <f t="shared" si="8"/>
        <v>0.051948051948052</v>
      </c>
      <c r="AD15" s="117">
        <f t="shared" si="8"/>
        <v>0.0643547849283094</v>
      </c>
    </row>
    <row r="16" s="83" customFormat="1" customHeight="1" spans="2:31">
      <c r="B16" s="107" t="s">
        <v>74</v>
      </c>
      <c r="C16" s="114" t="s">
        <v>62</v>
      </c>
      <c r="D16" s="109">
        <v>25</v>
      </c>
      <c r="E16" s="109">
        <v>2</v>
      </c>
      <c r="F16" s="109">
        <v>12</v>
      </c>
      <c r="G16" s="109">
        <v>25</v>
      </c>
      <c r="H16" s="109">
        <v>10</v>
      </c>
      <c r="I16" s="109">
        <v>24</v>
      </c>
      <c r="J16" s="109">
        <v>3</v>
      </c>
      <c r="K16" s="109">
        <v>20</v>
      </c>
      <c r="L16" s="109">
        <v>3</v>
      </c>
      <c r="M16" s="109">
        <v>9</v>
      </c>
      <c r="N16" s="109">
        <v>20</v>
      </c>
      <c r="O16" s="109">
        <v>18</v>
      </c>
      <c r="P16" s="115">
        <f>SUM(tblExpenses[[#This Row],[1 月]:[12 月]])</f>
        <v>171</v>
      </c>
      <c r="Q16" s="111">
        <v>0.01</v>
      </c>
      <c r="R16" s="116">
        <f t="shared" ref="R16:AD16" si="9">D16/D$26</f>
        <v>0.105932203389831</v>
      </c>
      <c r="S16" s="116">
        <f t="shared" si="9"/>
        <v>0.00975609756097561</v>
      </c>
      <c r="T16" s="116">
        <f t="shared" si="9"/>
        <v>0.0481927710843374</v>
      </c>
      <c r="U16" s="116">
        <f t="shared" si="9"/>
        <v>0.0957854406130268</v>
      </c>
      <c r="V16" s="116">
        <f t="shared" si="9"/>
        <v>0.0389105058365759</v>
      </c>
      <c r="W16" s="116">
        <f t="shared" si="9"/>
        <v>0.0875912408759124</v>
      </c>
      <c r="X16" s="116">
        <f t="shared" si="9"/>
        <v>0.0112781954887218</v>
      </c>
      <c r="Y16" s="116">
        <f t="shared" si="9"/>
        <v>0.0851063829787234</v>
      </c>
      <c r="Z16" s="116">
        <f t="shared" si="9"/>
        <v>0.0130434782608696</v>
      </c>
      <c r="AA16" s="116">
        <f t="shared" si="9"/>
        <v>0.0347490347490347</v>
      </c>
      <c r="AB16" s="116">
        <f t="shared" si="9"/>
        <v>0.0675675675675676</v>
      </c>
      <c r="AC16" s="116">
        <f t="shared" si="9"/>
        <v>0.0779220779220779</v>
      </c>
      <c r="AD16" s="117">
        <f t="shared" si="9"/>
        <v>0.0570190063354451</v>
      </c>
    </row>
    <row r="17" s="83" customFormat="1" customHeight="1" spans="2:30">
      <c r="B17" s="107" t="s">
        <v>175</v>
      </c>
      <c r="C17" s="114" t="s">
        <v>62</v>
      </c>
      <c r="D17" s="109">
        <v>16</v>
      </c>
      <c r="E17" s="109">
        <v>19</v>
      </c>
      <c r="F17" s="109">
        <v>9</v>
      </c>
      <c r="G17" s="109">
        <v>16</v>
      </c>
      <c r="H17" s="109">
        <v>13</v>
      </c>
      <c r="I17" s="109">
        <v>2</v>
      </c>
      <c r="J17" s="109">
        <v>4</v>
      </c>
      <c r="K17" s="109">
        <v>24</v>
      </c>
      <c r="L17" s="109">
        <v>16</v>
      </c>
      <c r="M17" s="109">
        <v>22</v>
      </c>
      <c r="N17" s="109">
        <v>7</v>
      </c>
      <c r="O17" s="109">
        <v>18</v>
      </c>
      <c r="P17" s="115">
        <f>SUM(tblExpenses[[#This Row],[1 月]:[12 月]])</f>
        <v>166</v>
      </c>
      <c r="Q17" s="111">
        <v>0.01</v>
      </c>
      <c r="R17" s="116">
        <f t="shared" ref="R17:AD17" si="10">D17/D$26</f>
        <v>0.0677966101694915</v>
      </c>
      <c r="S17" s="116">
        <f t="shared" si="10"/>
        <v>0.0926829268292683</v>
      </c>
      <c r="T17" s="116">
        <f t="shared" si="10"/>
        <v>0.036144578313253</v>
      </c>
      <c r="U17" s="116">
        <f t="shared" si="10"/>
        <v>0.0613026819923372</v>
      </c>
      <c r="V17" s="116">
        <f t="shared" si="10"/>
        <v>0.0505836575875486</v>
      </c>
      <c r="W17" s="116">
        <f t="shared" si="10"/>
        <v>0.0072992700729927</v>
      </c>
      <c r="X17" s="116">
        <f t="shared" si="10"/>
        <v>0.0150375939849624</v>
      </c>
      <c r="Y17" s="116">
        <f t="shared" si="10"/>
        <v>0.102127659574468</v>
      </c>
      <c r="Z17" s="116">
        <f t="shared" si="10"/>
        <v>0.0695652173913043</v>
      </c>
      <c r="AA17" s="116">
        <f t="shared" si="10"/>
        <v>0.0849420849420849</v>
      </c>
      <c r="AB17" s="116">
        <f t="shared" si="10"/>
        <v>0.0236486486486486</v>
      </c>
      <c r="AC17" s="116">
        <f t="shared" si="10"/>
        <v>0.0779220779220779</v>
      </c>
      <c r="AD17" s="117">
        <f t="shared" si="10"/>
        <v>0.055351783927976</v>
      </c>
    </row>
    <row r="18" s="83" customFormat="1" customHeight="1" spans="2:30">
      <c r="B18" s="107" t="s">
        <v>120</v>
      </c>
      <c r="C18" s="114" t="s">
        <v>62</v>
      </c>
      <c r="D18" s="109">
        <v>12</v>
      </c>
      <c r="E18" s="109">
        <v>9</v>
      </c>
      <c r="F18" s="109">
        <v>16</v>
      </c>
      <c r="G18" s="109">
        <v>19</v>
      </c>
      <c r="H18" s="109">
        <v>25</v>
      </c>
      <c r="I18" s="109">
        <v>17</v>
      </c>
      <c r="J18" s="109">
        <v>20</v>
      </c>
      <c r="K18" s="109">
        <v>14</v>
      </c>
      <c r="L18" s="109">
        <v>5</v>
      </c>
      <c r="M18" s="109">
        <v>14</v>
      </c>
      <c r="N18" s="109">
        <v>5</v>
      </c>
      <c r="O18" s="109">
        <v>2</v>
      </c>
      <c r="P18" s="115">
        <f>SUM(tblExpenses[[#This Row],[1 月]:[12 月]])</f>
        <v>158</v>
      </c>
      <c r="Q18" s="111">
        <v>0.01</v>
      </c>
      <c r="R18" s="116">
        <f t="shared" ref="R18:AD18" si="11">D18/D$26</f>
        <v>0.0508474576271186</v>
      </c>
      <c r="S18" s="116">
        <f t="shared" si="11"/>
        <v>0.0439024390243902</v>
      </c>
      <c r="T18" s="116">
        <f t="shared" si="11"/>
        <v>0.0642570281124498</v>
      </c>
      <c r="U18" s="116">
        <f t="shared" si="11"/>
        <v>0.0727969348659004</v>
      </c>
      <c r="V18" s="116">
        <f t="shared" si="11"/>
        <v>0.0972762645914397</v>
      </c>
      <c r="W18" s="116">
        <f t="shared" si="11"/>
        <v>0.062043795620438</v>
      </c>
      <c r="X18" s="116">
        <f t="shared" si="11"/>
        <v>0.075187969924812</v>
      </c>
      <c r="Y18" s="116">
        <f t="shared" si="11"/>
        <v>0.0595744680851064</v>
      </c>
      <c r="Z18" s="116">
        <f t="shared" si="11"/>
        <v>0.0217391304347826</v>
      </c>
      <c r="AA18" s="116">
        <f t="shared" si="11"/>
        <v>0.0540540540540541</v>
      </c>
      <c r="AB18" s="116">
        <f t="shared" si="11"/>
        <v>0.0168918918918919</v>
      </c>
      <c r="AC18" s="116">
        <f t="shared" si="11"/>
        <v>0.00865800865800866</v>
      </c>
      <c r="AD18" s="117">
        <f t="shared" si="11"/>
        <v>0.0526842280760253</v>
      </c>
    </row>
    <row r="19" s="83" customFormat="1" customHeight="1" spans="2:30">
      <c r="B19" s="107" t="s">
        <v>241</v>
      </c>
      <c r="C19" s="114" t="s">
        <v>62</v>
      </c>
      <c r="D19" s="109">
        <v>16</v>
      </c>
      <c r="E19" s="109">
        <v>13</v>
      </c>
      <c r="F19" s="109">
        <v>10</v>
      </c>
      <c r="G19" s="109">
        <v>7</v>
      </c>
      <c r="H19" s="109">
        <v>13</v>
      </c>
      <c r="I19" s="109">
        <v>3</v>
      </c>
      <c r="J19" s="109">
        <v>13</v>
      </c>
      <c r="K19" s="109">
        <v>17</v>
      </c>
      <c r="L19" s="109">
        <v>9</v>
      </c>
      <c r="M19" s="109">
        <v>4</v>
      </c>
      <c r="N19" s="109">
        <v>22</v>
      </c>
      <c r="O19" s="109">
        <v>18</v>
      </c>
      <c r="P19" s="115">
        <f>SUM(tblExpenses[[#This Row],[1 月]:[12 月]])</f>
        <v>145</v>
      </c>
      <c r="Q19" s="111">
        <v>0.14</v>
      </c>
      <c r="R19" s="116">
        <f t="shared" ref="R19:AD19" si="12">D19/D$26</f>
        <v>0.0677966101694915</v>
      </c>
      <c r="S19" s="116">
        <f t="shared" si="12"/>
        <v>0.0634146341463415</v>
      </c>
      <c r="T19" s="116">
        <f t="shared" si="12"/>
        <v>0.0401606425702811</v>
      </c>
      <c r="U19" s="116">
        <f t="shared" si="12"/>
        <v>0.0268199233716475</v>
      </c>
      <c r="V19" s="116">
        <f t="shared" si="12"/>
        <v>0.0505836575875486</v>
      </c>
      <c r="W19" s="116">
        <f t="shared" si="12"/>
        <v>0.0109489051094891</v>
      </c>
      <c r="X19" s="116">
        <f t="shared" si="12"/>
        <v>0.0488721804511278</v>
      </c>
      <c r="Y19" s="116">
        <f t="shared" si="12"/>
        <v>0.0723404255319149</v>
      </c>
      <c r="Z19" s="116">
        <f t="shared" si="12"/>
        <v>0.0391304347826087</v>
      </c>
      <c r="AA19" s="116">
        <f t="shared" si="12"/>
        <v>0.0154440154440154</v>
      </c>
      <c r="AB19" s="116">
        <f t="shared" si="12"/>
        <v>0.0743243243243243</v>
      </c>
      <c r="AC19" s="116">
        <f t="shared" si="12"/>
        <v>0.0779220779220779</v>
      </c>
      <c r="AD19" s="117">
        <f t="shared" si="12"/>
        <v>0.0483494498166055</v>
      </c>
    </row>
    <row r="20" s="83" customFormat="1" customHeight="1" spans="2:30">
      <c r="B20" s="107" t="s">
        <v>70</v>
      </c>
      <c r="C20" s="114" t="s">
        <v>62</v>
      </c>
      <c r="D20" s="109">
        <v>3</v>
      </c>
      <c r="E20" s="109">
        <v>2</v>
      </c>
      <c r="F20" s="109">
        <v>19</v>
      </c>
      <c r="G20" s="109">
        <v>21</v>
      </c>
      <c r="H20" s="109">
        <v>13</v>
      </c>
      <c r="I20" s="109">
        <v>9</v>
      </c>
      <c r="J20" s="109">
        <v>7</v>
      </c>
      <c r="K20" s="109">
        <v>13</v>
      </c>
      <c r="L20" s="109">
        <v>3</v>
      </c>
      <c r="M20" s="109">
        <v>6</v>
      </c>
      <c r="N20" s="109">
        <v>10</v>
      </c>
      <c r="O20" s="109">
        <v>13</v>
      </c>
      <c r="P20" s="115">
        <f>SUM(tblExpenses[[#This Row],[1 月]:[12 月]])</f>
        <v>119</v>
      </c>
      <c r="Q20" s="111">
        <v>0.06</v>
      </c>
      <c r="R20" s="116">
        <f t="shared" ref="R20:AD20" si="13">D20/D$26</f>
        <v>0.0127118644067797</v>
      </c>
      <c r="S20" s="116">
        <f t="shared" si="13"/>
        <v>0.00975609756097561</v>
      </c>
      <c r="T20" s="116">
        <f t="shared" si="13"/>
        <v>0.0763052208835341</v>
      </c>
      <c r="U20" s="116">
        <f t="shared" si="13"/>
        <v>0.0804597701149425</v>
      </c>
      <c r="V20" s="116">
        <f t="shared" si="13"/>
        <v>0.0505836575875486</v>
      </c>
      <c r="W20" s="116">
        <f t="shared" si="13"/>
        <v>0.0328467153284672</v>
      </c>
      <c r="X20" s="116">
        <f t="shared" si="13"/>
        <v>0.0263157894736842</v>
      </c>
      <c r="Y20" s="116">
        <f t="shared" si="13"/>
        <v>0.0553191489361702</v>
      </c>
      <c r="Z20" s="116">
        <f t="shared" si="13"/>
        <v>0.0130434782608696</v>
      </c>
      <c r="AA20" s="116">
        <f t="shared" si="13"/>
        <v>0.0231660231660232</v>
      </c>
      <c r="AB20" s="116">
        <f t="shared" si="13"/>
        <v>0.0337837837837838</v>
      </c>
      <c r="AC20" s="116">
        <f t="shared" si="13"/>
        <v>0.0562770562770563</v>
      </c>
      <c r="AD20" s="117">
        <f t="shared" si="13"/>
        <v>0.0396798932977659</v>
      </c>
    </row>
    <row r="21" s="83" customFormat="1" customHeight="1" spans="2:30">
      <c r="B21" s="107" t="s">
        <v>181</v>
      </c>
      <c r="C21" s="114" t="s">
        <v>62</v>
      </c>
      <c r="D21" s="109">
        <v>8</v>
      </c>
      <c r="E21" s="109">
        <v>7</v>
      </c>
      <c r="F21" s="109">
        <v>6</v>
      </c>
      <c r="G21" s="109">
        <v>7</v>
      </c>
      <c r="H21" s="109">
        <v>7</v>
      </c>
      <c r="I21" s="109">
        <v>6</v>
      </c>
      <c r="J21" s="109">
        <v>15</v>
      </c>
      <c r="K21" s="109">
        <v>23</v>
      </c>
      <c r="L21" s="109">
        <v>21</v>
      </c>
      <c r="M21" s="109">
        <v>16</v>
      </c>
      <c r="N21" s="109">
        <v>19</v>
      </c>
      <c r="O21" s="109">
        <v>7</v>
      </c>
      <c r="P21" s="115">
        <f>SUM(tblExpenses[[#This Row],[1 月]:[12 月]])</f>
        <v>142</v>
      </c>
      <c r="Q21" s="111">
        <v>0.01</v>
      </c>
      <c r="R21" s="116">
        <f t="shared" ref="R21:AD21" si="14">D21/D$26</f>
        <v>0.0338983050847458</v>
      </c>
      <c r="S21" s="116">
        <f t="shared" si="14"/>
        <v>0.0341463414634146</v>
      </c>
      <c r="T21" s="116">
        <f t="shared" si="14"/>
        <v>0.0240963855421687</v>
      </c>
      <c r="U21" s="116">
        <f t="shared" si="14"/>
        <v>0.0268199233716475</v>
      </c>
      <c r="V21" s="116">
        <f t="shared" si="14"/>
        <v>0.0272373540856031</v>
      </c>
      <c r="W21" s="116">
        <f t="shared" si="14"/>
        <v>0.0218978102189781</v>
      </c>
      <c r="X21" s="116">
        <f t="shared" si="14"/>
        <v>0.056390977443609</v>
      </c>
      <c r="Y21" s="116">
        <f t="shared" si="14"/>
        <v>0.0978723404255319</v>
      </c>
      <c r="Z21" s="116">
        <f t="shared" si="14"/>
        <v>0.091304347826087</v>
      </c>
      <c r="AA21" s="116">
        <f t="shared" si="14"/>
        <v>0.0617760617760618</v>
      </c>
      <c r="AB21" s="116">
        <f t="shared" si="14"/>
        <v>0.0641891891891892</v>
      </c>
      <c r="AC21" s="116">
        <f t="shared" si="14"/>
        <v>0.0303030303030303</v>
      </c>
      <c r="AD21" s="117">
        <f t="shared" si="14"/>
        <v>0.047349116372124</v>
      </c>
    </row>
    <row r="22" s="83" customFormat="1" customHeight="1" spans="2:30">
      <c r="B22" s="107" t="s">
        <v>242</v>
      </c>
      <c r="C22" s="114" t="s">
        <v>62</v>
      </c>
      <c r="D22" s="109">
        <v>14</v>
      </c>
      <c r="E22" s="109">
        <v>4</v>
      </c>
      <c r="F22" s="109">
        <v>24</v>
      </c>
      <c r="G22" s="109">
        <v>6</v>
      </c>
      <c r="H22" s="109">
        <v>20</v>
      </c>
      <c r="I22" s="109">
        <v>14</v>
      </c>
      <c r="J22" s="109">
        <v>21</v>
      </c>
      <c r="K22" s="109">
        <v>20</v>
      </c>
      <c r="L22" s="109">
        <v>22</v>
      </c>
      <c r="M22" s="109">
        <v>3</v>
      </c>
      <c r="N22" s="109">
        <v>14</v>
      </c>
      <c r="O22" s="109">
        <v>6</v>
      </c>
      <c r="P22" s="115">
        <f>SUM(tblExpenses[[#This Row],[1 月]:[12 月]])</f>
        <v>168</v>
      </c>
      <c r="Q22" s="111">
        <v>0.01</v>
      </c>
      <c r="R22" s="116">
        <f t="shared" ref="R22:AD22" si="15">D22/D$26</f>
        <v>0.0593220338983051</v>
      </c>
      <c r="S22" s="116">
        <f t="shared" si="15"/>
        <v>0.0195121951219512</v>
      </c>
      <c r="T22" s="116">
        <f t="shared" si="15"/>
        <v>0.0963855421686747</v>
      </c>
      <c r="U22" s="116">
        <f t="shared" si="15"/>
        <v>0.0229885057471264</v>
      </c>
      <c r="V22" s="116">
        <f t="shared" si="15"/>
        <v>0.0778210116731518</v>
      </c>
      <c r="W22" s="116">
        <f t="shared" si="15"/>
        <v>0.0510948905109489</v>
      </c>
      <c r="X22" s="116">
        <f t="shared" si="15"/>
        <v>0.0789473684210526</v>
      </c>
      <c r="Y22" s="116">
        <f t="shared" si="15"/>
        <v>0.0851063829787234</v>
      </c>
      <c r="Z22" s="116">
        <f t="shared" si="15"/>
        <v>0.0956521739130435</v>
      </c>
      <c r="AA22" s="116">
        <f t="shared" si="15"/>
        <v>0.0115830115830116</v>
      </c>
      <c r="AB22" s="116">
        <f t="shared" si="15"/>
        <v>0.0472972972972973</v>
      </c>
      <c r="AC22" s="116">
        <f t="shared" si="15"/>
        <v>0.025974025974026</v>
      </c>
      <c r="AD22" s="117">
        <f t="shared" si="15"/>
        <v>0.0560186728909637</v>
      </c>
    </row>
    <row r="23" s="83" customFormat="1" customHeight="1" spans="2:30">
      <c r="B23" s="107" t="s">
        <v>242</v>
      </c>
      <c r="C23" s="114" t="s">
        <v>62</v>
      </c>
      <c r="D23" s="109">
        <v>14</v>
      </c>
      <c r="E23" s="109">
        <v>7</v>
      </c>
      <c r="F23" s="109">
        <v>24</v>
      </c>
      <c r="G23" s="109">
        <v>10</v>
      </c>
      <c r="H23" s="109">
        <v>7</v>
      </c>
      <c r="I23" s="109">
        <v>24</v>
      </c>
      <c r="J23" s="109">
        <v>2</v>
      </c>
      <c r="K23" s="109">
        <v>11</v>
      </c>
      <c r="L23" s="109">
        <v>21</v>
      </c>
      <c r="M23" s="109">
        <v>19</v>
      </c>
      <c r="N23" s="109">
        <v>19</v>
      </c>
      <c r="O23" s="109">
        <v>20</v>
      </c>
      <c r="P23" s="115">
        <f>SUM(tblExpenses[[#This Row],[1 月]:[12 月]])</f>
        <v>178</v>
      </c>
      <c r="Q23" s="111">
        <v>0.01</v>
      </c>
      <c r="R23" s="116">
        <f t="shared" ref="R23:AD23" si="16">D23/D$26</f>
        <v>0.0593220338983051</v>
      </c>
      <c r="S23" s="116">
        <f t="shared" si="16"/>
        <v>0.0341463414634146</v>
      </c>
      <c r="T23" s="116">
        <f t="shared" si="16"/>
        <v>0.0963855421686747</v>
      </c>
      <c r="U23" s="116">
        <f t="shared" si="16"/>
        <v>0.0383141762452107</v>
      </c>
      <c r="V23" s="116">
        <f t="shared" si="16"/>
        <v>0.0272373540856031</v>
      </c>
      <c r="W23" s="116">
        <f t="shared" si="16"/>
        <v>0.0875912408759124</v>
      </c>
      <c r="X23" s="116">
        <f t="shared" si="16"/>
        <v>0.0075187969924812</v>
      </c>
      <c r="Y23" s="116">
        <f t="shared" si="16"/>
        <v>0.0468085106382979</v>
      </c>
      <c r="Z23" s="116">
        <f t="shared" si="16"/>
        <v>0.091304347826087</v>
      </c>
      <c r="AA23" s="116">
        <f t="shared" si="16"/>
        <v>0.0733590733590734</v>
      </c>
      <c r="AB23" s="116">
        <f t="shared" si="16"/>
        <v>0.0641891891891892</v>
      </c>
      <c r="AC23" s="116">
        <f t="shared" si="16"/>
        <v>0.0865800865800866</v>
      </c>
      <c r="AD23" s="117">
        <f t="shared" si="16"/>
        <v>0.059353117705902</v>
      </c>
    </row>
    <row r="24" s="83" customFormat="1" customHeight="1" spans="2:30">
      <c r="B24" s="107" t="s">
        <v>242</v>
      </c>
      <c r="C24" s="114" t="s">
        <v>62</v>
      </c>
      <c r="D24" s="109">
        <v>11</v>
      </c>
      <c r="E24" s="109">
        <v>8</v>
      </c>
      <c r="F24" s="109">
        <v>25</v>
      </c>
      <c r="G24" s="109">
        <v>11</v>
      </c>
      <c r="H24" s="109">
        <v>9</v>
      </c>
      <c r="I24" s="109">
        <v>24</v>
      </c>
      <c r="J24" s="109">
        <v>13</v>
      </c>
      <c r="K24" s="109">
        <v>14</v>
      </c>
      <c r="L24" s="109">
        <v>19</v>
      </c>
      <c r="M24" s="109">
        <v>24</v>
      </c>
      <c r="N24" s="109">
        <v>15</v>
      </c>
      <c r="O24" s="109">
        <v>7</v>
      </c>
      <c r="P24" s="115">
        <f>SUM(tblExpenses[[#This Row],[1 月]:[12 月]])</f>
        <v>180</v>
      </c>
      <c r="Q24" s="111">
        <v>0.01</v>
      </c>
      <c r="R24" s="116">
        <f t="shared" ref="R24:AD24" si="17">D24/D$26</f>
        <v>0.0466101694915254</v>
      </c>
      <c r="S24" s="116">
        <f t="shared" si="17"/>
        <v>0.0390243902439024</v>
      </c>
      <c r="T24" s="116">
        <f t="shared" si="17"/>
        <v>0.100401606425703</v>
      </c>
      <c r="U24" s="116">
        <f t="shared" si="17"/>
        <v>0.0421455938697318</v>
      </c>
      <c r="V24" s="116">
        <f t="shared" si="17"/>
        <v>0.0350194552529183</v>
      </c>
      <c r="W24" s="116">
        <f t="shared" si="17"/>
        <v>0.0875912408759124</v>
      </c>
      <c r="X24" s="116">
        <f t="shared" si="17"/>
        <v>0.0488721804511278</v>
      </c>
      <c r="Y24" s="116">
        <f t="shared" si="17"/>
        <v>0.0595744680851064</v>
      </c>
      <c r="Z24" s="116">
        <f t="shared" si="17"/>
        <v>0.0826086956521739</v>
      </c>
      <c r="AA24" s="116">
        <f t="shared" si="17"/>
        <v>0.0926640926640927</v>
      </c>
      <c r="AB24" s="116">
        <f t="shared" si="17"/>
        <v>0.0506756756756757</v>
      </c>
      <c r="AC24" s="116">
        <f t="shared" si="17"/>
        <v>0.0303030303030303</v>
      </c>
      <c r="AD24" s="117">
        <f t="shared" si="17"/>
        <v>0.0600200066688896</v>
      </c>
    </row>
    <row r="25" s="83" customFormat="1" customHeight="1" spans="2:30">
      <c r="B25" s="107" t="s">
        <v>243</v>
      </c>
      <c r="C25" s="114" t="s">
        <v>62</v>
      </c>
      <c r="D25" s="109">
        <v>8</v>
      </c>
      <c r="E25" s="109">
        <v>20</v>
      </c>
      <c r="F25" s="109">
        <v>11</v>
      </c>
      <c r="G25" s="109">
        <v>11</v>
      </c>
      <c r="H25" s="109">
        <v>11</v>
      </c>
      <c r="I25" s="109">
        <v>20</v>
      </c>
      <c r="J25" s="109">
        <v>12</v>
      </c>
      <c r="K25" s="109">
        <v>16</v>
      </c>
      <c r="L25" s="109">
        <v>5</v>
      </c>
      <c r="M25" s="109">
        <v>7</v>
      </c>
      <c r="N25" s="109">
        <v>21</v>
      </c>
      <c r="O25" s="109">
        <v>3</v>
      </c>
      <c r="P25" s="118">
        <f>SUM(tblExpenses[[#This Row],[1 月]:[12 月]])</f>
        <v>145</v>
      </c>
      <c r="Q25" s="111">
        <v>0.02</v>
      </c>
      <c r="R25" s="116">
        <f t="shared" ref="R25:AD25" si="18">D25/D$26</f>
        <v>0.0338983050847458</v>
      </c>
      <c r="S25" s="116">
        <f t="shared" si="18"/>
        <v>0.0975609756097561</v>
      </c>
      <c r="T25" s="116">
        <f t="shared" si="18"/>
        <v>0.0441767068273092</v>
      </c>
      <c r="U25" s="116">
        <f t="shared" si="18"/>
        <v>0.0421455938697318</v>
      </c>
      <c r="V25" s="116">
        <f t="shared" si="18"/>
        <v>0.0428015564202335</v>
      </c>
      <c r="W25" s="116">
        <f t="shared" si="18"/>
        <v>0.072992700729927</v>
      </c>
      <c r="X25" s="116">
        <f t="shared" si="18"/>
        <v>0.0451127819548872</v>
      </c>
      <c r="Y25" s="116">
        <f t="shared" si="18"/>
        <v>0.0680851063829787</v>
      </c>
      <c r="Z25" s="116">
        <f t="shared" si="18"/>
        <v>0.0217391304347826</v>
      </c>
      <c r="AA25" s="116">
        <f t="shared" si="18"/>
        <v>0.027027027027027</v>
      </c>
      <c r="AB25" s="116">
        <f t="shared" si="18"/>
        <v>0.0709459459459459</v>
      </c>
      <c r="AC25" s="116">
        <f t="shared" si="18"/>
        <v>0.012987012987013</v>
      </c>
      <c r="AD25" s="117">
        <f t="shared" si="18"/>
        <v>0.0483494498166055</v>
      </c>
    </row>
    <row r="26" s="83" customFormat="1" customHeight="1" spans="2:30">
      <c r="B26" s="119" t="s">
        <v>182</v>
      </c>
      <c r="C26" s="114"/>
      <c r="D26" s="109">
        <f t="shared" ref="D26:O26" si="19">SUM(D7:D25)</f>
        <v>236</v>
      </c>
      <c r="E26" s="109">
        <f t="shared" si="19"/>
        <v>205</v>
      </c>
      <c r="F26" s="109">
        <f t="shared" si="19"/>
        <v>249</v>
      </c>
      <c r="G26" s="120">
        <f t="shared" si="19"/>
        <v>261</v>
      </c>
      <c r="H26" s="120">
        <f t="shared" si="19"/>
        <v>257</v>
      </c>
      <c r="I26" s="120">
        <f t="shared" si="19"/>
        <v>274</v>
      </c>
      <c r="J26" s="120">
        <f t="shared" si="19"/>
        <v>266</v>
      </c>
      <c r="K26" s="120">
        <f t="shared" si="19"/>
        <v>235</v>
      </c>
      <c r="L26" s="120">
        <f t="shared" si="19"/>
        <v>230</v>
      </c>
      <c r="M26" s="120">
        <f t="shared" si="19"/>
        <v>259</v>
      </c>
      <c r="N26" s="120">
        <f t="shared" si="19"/>
        <v>296</v>
      </c>
      <c r="O26" s="120">
        <f t="shared" si="19"/>
        <v>231</v>
      </c>
      <c r="P26" s="121">
        <f>SUM(tblExpenses[[#This Row],[1 月]:[12 月]])</f>
        <v>2999</v>
      </c>
      <c r="Q26" s="122">
        <f>SUM(Q7:Q25)</f>
        <v>1</v>
      </c>
      <c r="R26" s="117">
        <f t="shared" ref="R26:AD26" si="20">D26/D$26</f>
        <v>1</v>
      </c>
      <c r="S26" s="117">
        <f t="shared" si="20"/>
        <v>1</v>
      </c>
      <c r="T26" s="117">
        <f t="shared" si="20"/>
        <v>1</v>
      </c>
      <c r="U26" s="117">
        <f t="shared" si="20"/>
        <v>1</v>
      </c>
      <c r="V26" s="117">
        <f t="shared" si="20"/>
        <v>1</v>
      </c>
      <c r="W26" s="117">
        <f t="shared" si="20"/>
        <v>1</v>
      </c>
      <c r="X26" s="117">
        <f t="shared" si="20"/>
        <v>1</v>
      </c>
      <c r="Y26" s="117">
        <f t="shared" si="20"/>
        <v>1</v>
      </c>
      <c r="Z26" s="117">
        <f t="shared" si="20"/>
        <v>1</v>
      </c>
      <c r="AA26" s="117">
        <f t="shared" si="20"/>
        <v>1</v>
      </c>
      <c r="AB26" s="117">
        <f t="shared" si="20"/>
        <v>1</v>
      </c>
      <c r="AC26" s="117">
        <f t="shared" si="20"/>
        <v>1</v>
      </c>
      <c r="AD26" s="117">
        <f t="shared" si="20"/>
        <v>1</v>
      </c>
    </row>
    <row r="27" s="83" customFormat="1" customHeight="1" spans="2:30">
      <c r="B27" s="105" t="s">
        <v>244</v>
      </c>
      <c r="C27" s="123"/>
      <c r="D27" s="124">
        <f>成本!D15-D26</f>
        <v>297</v>
      </c>
      <c r="E27" s="124">
        <f>成本!E15-E26</f>
        <v>-205</v>
      </c>
      <c r="F27" s="124">
        <f>成本!F15-F26</f>
        <v>-249</v>
      </c>
      <c r="G27" s="124">
        <f>成本!G15-G26</f>
        <v>-261</v>
      </c>
      <c r="H27" s="124">
        <f>成本!H15-H26</f>
        <v>-257</v>
      </c>
      <c r="I27" s="124">
        <f>成本!I15-I26</f>
        <v>-274</v>
      </c>
      <c r="J27" s="124">
        <f>成本!J15-J26</f>
        <v>-266</v>
      </c>
      <c r="K27" s="124">
        <f>成本!K15-K26</f>
        <v>-235</v>
      </c>
      <c r="L27" s="124">
        <f>成本!L15-L26</f>
        <v>-230</v>
      </c>
      <c r="M27" s="124">
        <f>成本!M15-M26</f>
        <v>-259</v>
      </c>
      <c r="N27" s="124">
        <f>成本!N15-N26</f>
        <v>-296</v>
      </c>
      <c r="O27" s="124">
        <f>成本!O15-O26</f>
        <v>-231</v>
      </c>
      <c r="P27" s="124">
        <f>成本!P15-P26</f>
        <v>-2466</v>
      </c>
      <c r="Q27" s="125"/>
      <c r="R27" s="125"/>
      <c r="S27" s="125"/>
      <c r="T27" s="125"/>
      <c r="U27" s="125"/>
      <c r="V27" s="125"/>
      <c r="W27" s="125"/>
      <c r="X27" s="125"/>
      <c r="Y27" s="125"/>
      <c r="Z27" s="125"/>
      <c r="AA27" s="125"/>
      <c r="AB27" s="125"/>
      <c r="AC27" s="125"/>
      <c r="AD27" s="125"/>
    </row>
    <row r="32" customHeight="1" spans="2:30">
      <c r="L32" s="126"/>
    </row>
  </sheetData>
  <dataValidations count="9">
    <dataValidation allowBlank="1" showInputMessage="1" showErrorMessage="1" prompt="此工作表计算每个项目的每月支出、每年支出和年度总支出。将根据毛利润和总支出自动计算净利润" sqref="A1"/>
    <dataValidation allowBlank="1" showInputMessage="1" showErrorMessage="1" prompt="公司名称将根据“收入（销售额）”工作表中的条目自动更新" sqref="B2"/>
    <dataValidation allowBlank="1" showInputMessage="1" showErrorMessage="1" prompt="根据“收入（销售额）”工作表自动更新的标题。在下面的“支出”表中输入值，以便计算总支出" sqref="B4"/>
    <dataValidation allowBlank="1" showInputMessage="1" showErrorMessage="1" prompt="在此列中输入支出" sqref="B6"/>
    <dataValidation allowBlank="1" showInputMessage="1" showErrorMessage="1" prompt="此列是随时间推移的支出趋势图" sqref="C6"/>
    <dataValidation allowBlank="1" showInputMessage="1" showErrorMessage="1" prompt="“年度支出”在此列中自动计算" sqref="P6"/>
    <dataValidation allowBlank="1" showInputMessage="1" showErrorMessage="1" prompt="指数率位于此列中" sqref="Q6"/>
    <dataValidation allowBlank="1" showInputMessage="1" showErrorMessage="1" prompt="针对此单元格中的月份，在此列中自动计算不同源的支出占该月总支出的比例" sqref="R6:AC6"/>
    <dataValidation allowBlank="1" showInputMessage="1" showErrorMessage="1" prompt="在此列中自动计算不同源的支出占该年总支出的比例" sqref="AD6"/>
  </dataValidations>
  <printOptions horizontalCentered="1"/>
  <pageMargins left="0.25" right="0.25" top="0.75" bottom="0.75" header="0.3" footer="0.3"/>
  <pageSetup paperSize="9" scale="37" fitToHeight="0" orientation="landscape"/>
  <headerFooter differentFirst="1"/>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99984740745262"/>
    <pageSetUpPr fitToPage="1" autoPageBreaks="0"/>
  </sheetPr>
  <dimension ref="B2:M20"/>
  <sheetViews>
    <sheetView showGridLines="0" workbookViewId="0">
      <selection activeCell="G9" sqref="G9"/>
    </sheetView>
  </sheetViews>
  <sheetFormatPr defaultColWidth="9" defaultRowHeight="30" customHeight="1"/>
  <cols>
    <col min="1" max="1" width="2.66666666666667" style="40" customWidth="1"/>
    <col min="2" max="2" width="22.1666666666667" style="40" customWidth="1"/>
    <col min="3" max="3" width="21.1666666666667" style="40" customWidth="1"/>
    <col min="4" max="4" width="23.8333333333333" style="40" customWidth="1"/>
    <col min="5" max="5" width="21.1666666666667" style="40" customWidth="1"/>
    <col min="6" max="9" width="14.3333333333333" style="40" customWidth="1"/>
    <col min="10" max="10" width="12.6666666666667" style="40" customWidth="1"/>
    <col min="11" max="11" width="17" style="40" customWidth="1"/>
    <col min="12" max="12" width="11.6666666666667" style="40" customWidth="1"/>
    <col min="13" max="13" width="15" style="40" customWidth="1"/>
    <col min="14" max="14" width="3.16666666666667" style="40" customWidth="1"/>
    <col min="15" max="16384" width="9" style="40" customWidth="1"/>
  </cols>
  <sheetData>
    <row r="2" customHeight="1" spans="2:13">
      <c r="B2" s="41" t="s">
        <v>245</v>
      </c>
      <c r="C2" s="42"/>
      <c r="D2" s="42"/>
      <c r="E2" s="42"/>
      <c r="F2" s="42"/>
      <c r="G2" s="42"/>
      <c r="H2" s="42"/>
      <c r="I2" s="42"/>
      <c r="J2" s="42"/>
      <c r="K2" s="42"/>
      <c r="L2" s="42"/>
      <c r="M2" s="42"/>
    </row>
    <row r="3" customHeight="1" spans="2:13">
      <c r="B3" s="43" t="s">
        <v>246</v>
      </c>
      <c r="C3" s="44" t="s">
        <v>247</v>
      </c>
      <c r="D3" s="44" t="s">
        <v>248</v>
      </c>
      <c r="E3" s="44" t="s">
        <v>249</v>
      </c>
      <c r="F3" s="44" t="s">
        <v>250</v>
      </c>
      <c r="G3" s="44" t="s">
        <v>251</v>
      </c>
      <c r="H3" s="44" t="s">
        <v>252</v>
      </c>
      <c r="I3" s="44" t="s">
        <v>253</v>
      </c>
      <c r="J3" s="44" t="s">
        <v>254</v>
      </c>
      <c r="K3" s="44" t="s">
        <v>255</v>
      </c>
      <c r="L3" s="44" t="s">
        <v>256</v>
      </c>
      <c r="M3" s="45" t="s">
        <v>257</v>
      </c>
    </row>
    <row r="4" customHeight="1" spans="2:13">
      <c r="B4" s="46" t="s">
        <v>258</v>
      </c>
      <c r="C4" s="46" t="s">
        <v>259</v>
      </c>
      <c r="D4" s="46" t="s">
        <v>260</v>
      </c>
      <c r="E4" s="46"/>
      <c r="F4" s="47">
        <v>2</v>
      </c>
      <c r="G4" s="48" t="s">
        <v>261</v>
      </c>
      <c r="H4" s="49">
        <v>43990</v>
      </c>
      <c r="I4" s="50">
        <v>480000</v>
      </c>
      <c r="J4" s="51">
        <v>20</v>
      </c>
      <c r="K4" s="50">
        <v>100000</v>
      </c>
      <c r="L4" s="47">
        <v>2</v>
      </c>
      <c r="M4" s="52">
        <f>IF(AND(I4&lt;&gt;0,K4&lt;&gt;0,J4&lt;&gt;0,L4&lt;&gt;0),DDB(I4,K4,J4,L4),"")</f>
        <v>43200</v>
      </c>
    </row>
    <row r="5" customHeight="1" spans="2:13">
      <c r="B5" s="46" t="s">
        <v>262</v>
      </c>
      <c r="C5" s="46" t="s">
        <v>263</v>
      </c>
      <c r="D5" s="46" t="s">
        <v>264</v>
      </c>
      <c r="E5" s="46" t="s">
        <v>265</v>
      </c>
      <c r="F5" s="53" t="s">
        <v>266</v>
      </c>
      <c r="G5" s="54" t="s">
        <v>267</v>
      </c>
      <c r="H5" s="49">
        <v>38146</v>
      </c>
      <c r="I5" s="50">
        <v>124000</v>
      </c>
      <c r="J5" s="55">
        <v>5</v>
      </c>
      <c r="K5" s="50">
        <v>20000</v>
      </c>
      <c r="L5" s="53">
        <v>2</v>
      </c>
      <c r="M5" s="52">
        <f>IF(AND(I5&lt;&gt;0,K5&lt;&gt;0,J5&lt;&gt;0,L5&lt;&gt;0),DDB(I5,K5,J5,L5),"")</f>
        <v>29760</v>
      </c>
    </row>
    <row r="6" customHeight="1" spans="2:13">
      <c r="B6" s="46"/>
      <c r="C6" s="46"/>
      <c r="D6" s="46"/>
      <c r="E6" s="46"/>
      <c r="F6" s="53"/>
      <c r="G6" s="54"/>
      <c r="H6" s="49"/>
      <c r="I6" s="50"/>
      <c r="J6" s="55"/>
      <c r="K6" s="50"/>
      <c r="L6" s="53"/>
      <c r="M6" s="52" t="str">
        <f>IF(AND(I6&lt;&gt;0,K6&lt;&gt;0,J6&lt;&gt;0,L6&lt;&gt;0),DDB(I6,K6,J6,L6),"")</f>
        <v/>
      </c>
    </row>
    <row r="7" customHeight="1" spans="2:13">
      <c r="B7" s="46"/>
      <c r="C7" s="46"/>
      <c r="D7" s="46"/>
      <c r="E7" s="53"/>
      <c r="F7" s="53"/>
      <c r="G7" s="54"/>
      <c r="H7" s="49"/>
      <c r="I7" s="50"/>
      <c r="J7" s="55"/>
      <c r="K7" s="50"/>
      <c r="L7" s="53"/>
      <c r="M7" s="52" t="str">
        <f>IF(AND(I7&lt;&gt;0,K7&lt;&gt;0,J7&lt;&gt;0,L7&lt;&gt;0),DDB(I7,K7,J7,L7),"")</f>
        <v/>
      </c>
    </row>
    <row r="8" customHeight="1" spans="2:13">
      <c r="B8" s="56"/>
      <c r="C8" s="56"/>
      <c r="D8" s="56"/>
      <c r="E8" s="56"/>
      <c r="F8" s="56"/>
      <c r="G8" s="56"/>
      <c r="H8" s="56"/>
      <c r="I8" s="56"/>
      <c r="J8" s="56"/>
      <c r="K8" s="56"/>
      <c r="L8" s="56"/>
      <c r="M8" s="56"/>
    </row>
    <row r="9" customHeight="1" spans="2:13">
      <c r="B9" s="56"/>
      <c r="C9" s="56"/>
      <c r="D9" s="56"/>
      <c r="E9" s="56"/>
      <c r="F9" s="56"/>
      <c r="G9" s="56"/>
      <c r="H9" s="56"/>
      <c r="I9" s="56"/>
      <c r="J9" s="56"/>
      <c r="K9" s="56"/>
      <c r="L9" s="56"/>
      <c r="M9" s="56"/>
    </row>
    <row r="10" customHeight="1" spans="2:13">
      <c r="B10" s="41" t="s">
        <v>268</v>
      </c>
      <c r="C10" s="42"/>
      <c r="D10" s="42"/>
      <c r="E10" s="42"/>
      <c r="F10" s="42"/>
      <c r="G10" s="42"/>
      <c r="H10" s="42"/>
      <c r="I10" s="42"/>
      <c r="J10" s="42"/>
      <c r="K10" s="42"/>
      <c r="L10" s="42"/>
      <c r="M10" s="42"/>
    </row>
    <row r="11" customHeight="1" spans="2:13">
      <c r="B11" s="43" t="s">
        <v>246</v>
      </c>
      <c r="C11" s="44" t="s">
        <v>247</v>
      </c>
      <c r="D11" s="44" t="s">
        <v>248</v>
      </c>
      <c r="E11" s="44" t="s">
        <v>269</v>
      </c>
      <c r="F11" s="44" t="s">
        <v>270</v>
      </c>
      <c r="G11" s="44" t="s">
        <v>251</v>
      </c>
      <c r="H11" s="44" t="s">
        <v>252</v>
      </c>
      <c r="I11" s="44" t="s">
        <v>253</v>
      </c>
      <c r="J11" s="44" t="s">
        <v>254</v>
      </c>
      <c r="K11" s="44" t="s">
        <v>255</v>
      </c>
      <c r="L11" s="44" t="s">
        <v>256</v>
      </c>
      <c r="M11" s="45" t="s">
        <v>271</v>
      </c>
    </row>
    <row r="12" customHeight="1" spans="2:13">
      <c r="B12" s="46" t="s">
        <v>272</v>
      </c>
      <c r="C12" s="46" t="s">
        <v>273</v>
      </c>
      <c r="D12" s="46" t="s">
        <v>260</v>
      </c>
      <c r="E12" s="46" t="s">
        <v>274</v>
      </c>
      <c r="F12" s="47">
        <v>2</v>
      </c>
      <c r="G12" s="48" t="s">
        <v>261</v>
      </c>
      <c r="H12" s="57">
        <v>37661</v>
      </c>
      <c r="I12" s="58">
        <v>480000</v>
      </c>
      <c r="J12" s="51">
        <v>20</v>
      </c>
      <c r="K12" s="58">
        <v>100000</v>
      </c>
      <c r="L12" s="47">
        <v>2</v>
      </c>
      <c r="M12" s="52">
        <f>IF(AND(I12&lt;&gt;0,K12&lt;&gt;0,J12&lt;&gt;0,L12&lt;&gt;0),DB(I12,K12,J12,L12),"")</f>
        <v>33300</v>
      </c>
    </row>
    <row r="13" customHeight="1" spans="2:13">
      <c r="B13" s="46" t="s">
        <v>262</v>
      </c>
      <c r="C13" s="46" t="s">
        <v>263</v>
      </c>
      <c r="D13" s="59" t="s">
        <v>264</v>
      </c>
      <c r="E13" s="46" t="s">
        <v>265</v>
      </c>
      <c r="F13" s="53">
        <v>14</v>
      </c>
      <c r="G13" s="54" t="s">
        <v>267</v>
      </c>
      <c r="H13" s="49">
        <v>38146</v>
      </c>
      <c r="I13" s="50">
        <v>124000</v>
      </c>
      <c r="J13" s="55">
        <v>5</v>
      </c>
      <c r="K13" s="50">
        <v>20000</v>
      </c>
      <c r="L13" s="53">
        <v>2</v>
      </c>
      <c r="M13" s="52">
        <f>IF(AND(I13&lt;&gt;0,K13&lt;&gt;0,J13&lt;&gt;0,L13&lt;&gt;0),DB(I13,K13,J13,L13),"")</f>
        <v>26333.136</v>
      </c>
    </row>
    <row r="14" customHeight="1" spans="2:13">
      <c r="B14" s="46"/>
      <c r="C14" s="46"/>
      <c r="D14" s="46"/>
      <c r="E14" s="46"/>
      <c r="F14" s="53"/>
      <c r="G14" s="54"/>
      <c r="H14" s="49"/>
      <c r="I14" s="50"/>
      <c r="J14" s="55"/>
      <c r="K14" s="50"/>
      <c r="L14" s="53"/>
      <c r="M14" s="52" t="str">
        <f>IF(AND(I14&lt;&gt;0,K14&lt;&gt;0,J14&lt;&gt;0,L14&lt;&gt;0),DB(I14,K14,J14,L14),"")</f>
        <v/>
      </c>
    </row>
    <row r="16" customHeight="1" spans="2:13">
      <c r="B16" s="60" t="s">
        <v>275</v>
      </c>
      <c r="C16" s="61"/>
      <c r="D16" s="61"/>
      <c r="E16" s="61"/>
      <c r="F16" s="61"/>
      <c r="G16" s="61"/>
      <c r="H16" s="61"/>
      <c r="I16" s="61"/>
      <c r="J16" s="61"/>
      <c r="K16" s="61"/>
      <c r="L16" s="61"/>
    </row>
    <row r="17" customHeight="1" spans="2:12">
      <c r="B17" s="62" t="s">
        <v>246</v>
      </c>
      <c r="C17" s="63" t="s">
        <v>247</v>
      </c>
      <c r="D17" s="63" t="s">
        <v>248</v>
      </c>
      <c r="E17" s="63" t="s">
        <v>269</v>
      </c>
      <c r="F17" s="63" t="s">
        <v>270</v>
      </c>
      <c r="G17" s="63" t="s">
        <v>251</v>
      </c>
      <c r="H17" s="63" t="s">
        <v>252</v>
      </c>
      <c r="I17" s="63" t="s">
        <v>253</v>
      </c>
      <c r="J17" s="63" t="s">
        <v>254</v>
      </c>
      <c r="K17" s="63" t="s">
        <v>255</v>
      </c>
      <c r="L17" s="64" t="s">
        <v>276</v>
      </c>
    </row>
    <row r="18" customHeight="1" spans="2:12">
      <c r="B18" s="65" t="s">
        <v>272</v>
      </c>
      <c r="C18" s="65" t="s">
        <v>273</v>
      </c>
      <c r="D18" s="65" t="s">
        <v>260</v>
      </c>
      <c r="E18" s="65" t="s">
        <v>274</v>
      </c>
      <c r="F18" s="66">
        <v>2</v>
      </c>
      <c r="G18" s="67" t="s">
        <v>261</v>
      </c>
      <c r="H18" s="68">
        <v>36931</v>
      </c>
      <c r="I18" s="69">
        <v>480000</v>
      </c>
      <c r="J18" s="66" t="s">
        <v>277</v>
      </c>
      <c r="K18" s="69">
        <v>100000</v>
      </c>
      <c r="L18" s="70">
        <f>IF(AND(I18&lt;&gt;0,K18&lt;&gt;0,J18&lt;&gt;0),SLN(I18,K18,J18),"")</f>
        <v>19000</v>
      </c>
    </row>
    <row r="19" customHeight="1" spans="2:12">
      <c r="B19" s="71" t="s">
        <v>262</v>
      </c>
      <c r="C19" s="71" t="s">
        <v>263</v>
      </c>
      <c r="D19" s="71" t="s">
        <v>264</v>
      </c>
      <c r="E19" s="71" t="s">
        <v>265</v>
      </c>
      <c r="F19" s="72">
        <v>14</v>
      </c>
      <c r="G19" s="73" t="s">
        <v>267</v>
      </c>
      <c r="H19" s="74">
        <v>38146</v>
      </c>
      <c r="I19" s="75">
        <v>124000</v>
      </c>
      <c r="J19" s="72">
        <v>5</v>
      </c>
      <c r="K19" s="75">
        <v>20000</v>
      </c>
      <c r="L19" s="76">
        <f>IF(AND(I19&lt;&gt;0,K19&lt;&gt;0,J19&lt;&gt;0),SLN(I19,K19,J19),"")</f>
        <v>20800</v>
      </c>
    </row>
    <row r="20" customHeight="1" spans="2:12">
      <c r="B20" s="77"/>
      <c r="C20" s="77"/>
      <c r="D20" s="77"/>
      <c r="E20" s="77"/>
      <c r="F20" s="78"/>
      <c r="G20" s="79"/>
      <c r="H20" s="80"/>
      <c r="I20" s="81"/>
      <c r="J20" s="78"/>
      <c r="K20" s="81"/>
      <c r="L20" s="76" t="str">
        <f>IF(AND(I20&lt;&gt;0,K20&lt;&gt;0,J20&lt;&gt;0),SLN(I20,K20,J20),"")</f>
        <v/>
      </c>
    </row>
  </sheetData>
  <mergeCells count="3">
    <mergeCell ref="B2:M2"/>
    <mergeCell ref="B10:M10"/>
    <mergeCell ref="B16:L16"/>
  </mergeCells>
  <printOptions horizontalCentered="1"/>
  <pageMargins left="0.4" right="0.4" top="0.4" bottom="0.4" header="0.3" footer="0.3"/>
  <pageSetup paperSize="9" fitToHeight="0" orientation="landscape"/>
  <headerFooter differentFirst="1">
    <oddFooter>&amp;CPage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99984740745262"/>
    <pageSetUpPr fitToPage="1"/>
  </sheetPr>
  <dimension ref="A1:O49"/>
  <sheetViews>
    <sheetView showGridLines="0" zoomScale="108" zoomScaleNormal="108" workbookViewId="0">
      <selection activeCell="G49" sqref="G49"/>
    </sheetView>
  </sheetViews>
  <sheetFormatPr defaultColWidth="9" defaultRowHeight="15.2"/>
  <cols>
    <col min="1" max="1" width="2.66666666666667" style="2" customWidth="1"/>
    <col min="2" max="2" width="19.5" style="3" customWidth="1"/>
    <col min="3" max="3" width="17.6666666666667" style="3" customWidth="1"/>
    <col min="4" max="9" width="11.1666666666667" style="3" customWidth="1"/>
    <col min="10" max="10" width="11.1666666666667" customWidth="1"/>
    <col min="11" max="15" width="11.1666666666667" style="3" customWidth="1"/>
    <col min="16" max="16384" width="9" style="3" customWidth="1"/>
  </cols>
  <sheetData>
    <row r="1" ht="16.5" customHeight="1" spans="1:15">
      <c r="A1" s="2" t="s">
        <v>278</v>
      </c>
      <c r="B1" s="4">
        <v>2025</v>
      </c>
      <c r="D1" s="5"/>
      <c r="E1" s="5"/>
      <c r="F1" s="5"/>
      <c r="G1" s="5"/>
      <c r="H1" s="5"/>
      <c r="I1" s="5"/>
      <c r="J1" s="5"/>
      <c r="K1" s="5"/>
      <c r="L1" s="5"/>
      <c r="M1" s="5"/>
      <c r="N1" s="5"/>
      <c r="O1" s="5" t="s">
        <v>279</v>
      </c>
    </row>
    <row r="2" ht="17.25" customHeight="1" spans="1:15">
      <c r="A2" s="2" t="s">
        <v>280</v>
      </c>
      <c r="B2" s="6"/>
      <c r="C2" s="6"/>
      <c r="D2" s="6"/>
      <c r="E2" s="6"/>
      <c r="F2" s="6"/>
      <c r="G2" s="6"/>
      <c r="H2" s="6"/>
      <c r="I2" s="6"/>
      <c r="J2" s="6"/>
      <c r="K2" s="6"/>
      <c r="L2" s="6"/>
      <c r="M2" s="6"/>
      <c r="N2" s="6"/>
      <c r="O2" s="6"/>
    </row>
    <row r="3" ht="18.75" customHeight="1" spans="1:15">
      <c r="B3" s="7"/>
      <c r="C3" s="7"/>
      <c r="D3" s="7"/>
      <c r="E3" s="7"/>
      <c r="F3" s="7"/>
      <c r="G3" s="7"/>
      <c r="H3" s="7"/>
      <c r="I3" s="7"/>
      <c r="J3" s="7"/>
      <c r="K3" s="7"/>
      <c r="L3" s="7"/>
      <c r="M3" s="7"/>
      <c r="N3" s="7"/>
      <c r="O3" s="7"/>
    </row>
    <row r="4" ht="16" customHeight="1" spans="1:15">
      <c r="A4" s="2" t="s">
        <v>281</v>
      </c>
      <c r="B4" s="8" t="s">
        <v>282</v>
      </c>
      <c r="D4" s="9"/>
      <c r="E4" s="9"/>
      <c r="F4" s="9"/>
      <c r="G4" s="9"/>
      <c r="H4" s="9"/>
      <c r="I4" s="9"/>
      <c r="O4" s="9"/>
    </row>
    <row r="5" s="1" customFormat="1" ht="15" customHeight="1" spans="1:15">
      <c r="A5" s="10" t="s">
        <v>283</v>
      </c>
      <c r="B5" s="11" t="s">
        <v>284</v>
      </c>
      <c r="C5" s="12" t="s">
        <v>285</v>
      </c>
      <c r="D5" s="12" t="s">
        <v>286</v>
      </c>
      <c r="E5" s="12" t="s">
        <v>287</v>
      </c>
      <c r="F5" s="12" t="s">
        <v>288</v>
      </c>
      <c r="G5" s="12" t="s">
        <v>289</v>
      </c>
      <c r="H5" s="12" t="s">
        <v>290</v>
      </c>
      <c r="I5" s="12" t="s">
        <v>291</v>
      </c>
      <c r="J5" s="12" t="s">
        <v>292</v>
      </c>
      <c r="K5" s="12" t="s">
        <v>293</v>
      </c>
      <c r="L5" s="12" t="s">
        <v>294</v>
      </c>
      <c r="M5" s="12" t="s">
        <v>295</v>
      </c>
      <c r="N5" s="12" t="s">
        <v>296</v>
      </c>
      <c r="O5" s="12" t="s">
        <v>297</v>
      </c>
    </row>
    <row r="6" ht="15" customHeight="1" spans="1:15">
      <c r="B6" s="13" t="s">
        <v>298</v>
      </c>
      <c r="C6" s="14">
        <f>现金流量表!D67</f>
        <v>0</v>
      </c>
      <c r="D6" s="14">
        <v>0</v>
      </c>
      <c r="E6" s="15">
        <v>0</v>
      </c>
      <c r="F6" s="15">
        <v>0</v>
      </c>
      <c r="G6" s="15">
        <v>0</v>
      </c>
      <c r="H6" s="15">
        <v>0</v>
      </c>
      <c r="I6" s="15">
        <v>0</v>
      </c>
      <c r="J6" s="15">
        <v>0</v>
      </c>
      <c r="K6" s="15">
        <v>0</v>
      </c>
      <c r="L6" s="15">
        <v>0</v>
      </c>
      <c r="M6" s="15">
        <v>0</v>
      </c>
      <c r="N6" s="15">
        <v>0</v>
      </c>
      <c r="O6" s="15">
        <v>0</v>
      </c>
    </row>
    <row r="7" ht="15" customHeight="1" spans="1:15">
      <c r="B7" s="13" t="s">
        <v>47</v>
      </c>
      <c r="C7" s="14">
        <v>0</v>
      </c>
      <c r="D7" s="14">
        <v>0</v>
      </c>
      <c r="E7" s="15">
        <v>0</v>
      </c>
      <c r="F7" s="15">
        <v>0</v>
      </c>
      <c r="G7" s="15">
        <v>0</v>
      </c>
      <c r="H7" s="15">
        <v>0</v>
      </c>
      <c r="I7" s="15">
        <v>0</v>
      </c>
      <c r="J7" s="15">
        <v>0</v>
      </c>
      <c r="K7" s="15">
        <v>0</v>
      </c>
      <c r="L7" s="15">
        <v>0</v>
      </c>
      <c r="M7" s="15">
        <v>0</v>
      </c>
      <c r="N7" s="15">
        <v>0</v>
      </c>
      <c r="O7" s="15">
        <v>0</v>
      </c>
    </row>
    <row r="8" ht="15" customHeight="1" spans="1:15">
      <c r="B8" s="13" t="s">
        <v>299</v>
      </c>
      <c r="C8" s="14">
        <v>0</v>
      </c>
      <c r="D8" s="14">
        <v>0</v>
      </c>
      <c r="E8" s="15">
        <v>0</v>
      </c>
      <c r="F8" s="15">
        <v>0</v>
      </c>
      <c r="G8" s="15">
        <v>0</v>
      </c>
      <c r="H8" s="15">
        <v>0</v>
      </c>
      <c r="I8" s="15">
        <v>0</v>
      </c>
      <c r="J8" s="15">
        <v>0</v>
      </c>
      <c r="K8" s="15">
        <v>0</v>
      </c>
      <c r="L8" s="15">
        <v>0</v>
      </c>
      <c r="M8" s="15">
        <v>0</v>
      </c>
      <c r="N8" s="15">
        <v>0</v>
      </c>
      <c r="O8" s="15">
        <v>0</v>
      </c>
    </row>
    <row r="9" ht="15" customHeight="1" spans="1:15">
      <c r="B9" s="13" t="s">
        <v>300</v>
      </c>
      <c r="C9" s="14">
        <v>0</v>
      </c>
      <c r="D9" s="14">
        <v>0</v>
      </c>
      <c r="E9" s="15">
        <v>0</v>
      </c>
      <c r="F9" s="15">
        <v>0</v>
      </c>
      <c r="G9" s="15">
        <v>0</v>
      </c>
      <c r="H9" s="15">
        <v>0</v>
      </c>
      <c r="I9" s="15">
        <v>0</v>
      </c>
      <c r="J9" s="15">
        <v>0</v>
      </c>
      <c r="K9" s="15">
        <v>0</v>
      </c>
      <c r="L9" s="15">
        <v>0</v>
      </c>
      <c r="M9" s="15">
        <v>0</v>
      </c>
      <c r="N9" s="15">
        <v>0</v>
      </c>
      <c r="O9" s="15">
        <v>0</v>
      </c>
    </row>
    <row r="10" ht="15" customHeight="1" spans="1:15">
      <c r="B10" s="13" t="s">
        <v>301</v>
      </c>
      <c r="C10" s="14">
        <v>0</v>
      </c>
      <c r="D10" s="14">
        <v>0</v>
      </c>
      <c r="E10" s="15">
        <v>0</v>
      </c>
      <c r="F10" s="15">
        <v>0</v>
      </c>
      <c r="G10" s="15">
        <v>0</v>
      </c>
      <c r="H10" s="15">
        <v>0</v>
      </c>
      <c r="I10" s="15">
        <v>0</v>
      </c>
      <c r="J10" s="15">
        <v>0</v>
      </c>
      <c r="K10" s="15">
        <v>0</v>
      </c>
      <c r="L10" s="15">
        <v>0</v>
      </c>
      <c r="M10" s="15">
        <v>0</v>
      </c>
      <c r="N10" s="15">
        <v>0</v>
      </c>
      <c r="O10" s="15">
        <v>0</v>
      </c>
    </row>
    <row r="11" ht="15" customHeight="1" spans="1:15">
      <c r="B11" s="16" t="s">
        <v>110</v>
      </c>
      <c r="C11" s="17">
        <v>0</v>
      </c>
      <c r="D11" s="17">
        <v>0</v>
      </c>
      <c r="E11" s="18">
        <v>0</v>
      </c>
      <c r="F11" s="18">
        <v>0</v>
      </c>
      <c r="G11" s="18">
        <v>0</v>
      </c>
      <c r="H11" s="18">
        <v>0</v>
      </c>
      <c r="I11" s="18">
        <v>0</v>
      </c>
      <c r="J11" s="18">
        <v>0</v>
      </c>
      <c r="K11" s="18">
        <v>0</v>
      </c>
      <c r="L11" s="18">
        <v>0</v>
      </c>
      <c r="M11" s="18">
        <v>0</v>
      </c>
      <c r="N11" s="18">
        <v>0</v>
      </c>
      <c r="O11" s="18">
        <v>0</v>
      </c>
    </row>
    <row r="12" s="1" customFormat="1" ht="15" customHeight="1" spans="1:15">
      <c r="A12" s="10"/>
      <c r="B12" s="19" t="s">
        <v>302</v>
      </c>
      <c r="C12" s="20">
        <f>SUBTOTAL(109,流动资产[上一年度])</f>
        <v>0</v>
      </c>
      <c r="D12" s="20">
        <f>SUBTOTAL(109,流动资产[1月])</f>
        <v>0</v>
      </c>
      <c r="E12" s="20">
        <f>SUBTOTAL(109,流动资产[2月])</f>
        <v>0</v>
      </c>
      <c r="F12" s="20">
        <f>SUBTOTAL(109,流动资产[3月])</f>
        <v>0</v>
      </c>
      <c r="G12" s="20">
        <f>SUBTOTAL(109,流动资产[4月])</f>
        <v>0</v>
      </c>
      <c r="H12" s="20">
        <f>SUBTOTAL(109,流动资产[5月])</f>
        <v>0</v>
      </c>
      <c r="I12" s="20">
        <f>SUBTOTAL(109,流动资产[6月])</f>
        <v>0</v>
      </c>
      <c r="J12" s="20">
        <f>SUBTOTAL(109,流动资产[7月])</f>
        <v>0</v>
      </c>
      <c r="K12" s="20">
        <f>SUBTOTAL(109,流动资产[8月])</f>
        <v>0</v>
      </c>
      <c r="L12" s="20">
        <f>SUBTOTAL(109,流动资产[9月])</f>
        <v>0</v>
      </c>
      <c r="M12" s="20">
        <f>SUBTOTAL(109,流动资产[10月])</f>
        <v>0</v>
      </c>
      <c r="N12" s="20">
        <f>SUBTOTAL(109,流动资产[11月])</f>
        <v>0</v>
      </c>
      <c r="O12" s="20">
        <f>SUBTOTAL(109,流动资产[12月])</f>
        <v>0</v>
      </c>
    </row>
    <row r="13" ht="15.95" spans="1:15">
      <c r="J13" s="3"/>
    </row>
    <row r="14" s="1" customFormat="1" ht="15" customHeight="1" spans="1:15">
      <c r="A14" s="10" t="s">
        <v>303</v>
      </c>
      <c r="B14" s="11" t="s">
        <v>304</v>
      </c>
      <c r="C14" s="12" t="s">
        <v>285</v>
      </c>
      <c r="D14" s="12" t="s">
        <v>286</v>
      </c>
      <c r="E14" s="12" t="s">
        <v>287</v>
      </c>
      <c r="F14" s="12" t="s">
        <v>288</v>
      </c>
      <c r="G14" s="12" t="s">
        <v>289</v>
      </c>
      <c r="H14" s="12" t="s">
        <v>290</v>
      </c>
      <c r="I14" s="12" t="s">
        <v>291</v>
      </c>
      <c r="J14" s="12" t="s">
        <v>292</v>
      </c>
      <c r="K14" s="12" t="s">
        <v>293</v>
      </c>
      <c r="L14" s="12" t="s">
        <v>294</v>
      </c>
      <c r="M14" s="12" t="s">
        <v>295</v>
      </c>
      <c r="N14" s="12" t="s">
        <v>296</v>
      </c>
      <c r="O14" s="12" t="s">
        <v>297</v>
      </c>
    </row>
    <row r="15" ht="15" customHeight="1" spans="1:15">
      <c r="B15" s="13" t="s">
        <v>305</v>
      </c>
      <c r="C15" s="14">
        <v>0</v>
      </c>
      <c r="D15" s="14">
        <v>0</v>
      </c>
      <c r="E15" s="15">
        <v>0</v>
      </c>
      <c r="F15" s="15">
        <v>0</v>
      </c>
      <c r="G15" s="15">
        <v>0</v>
      </c>
      <c r="H15" s="15">
        <v>0</v>
      </c>
      <c r="I15" s="15">
        <v>0</v>
      </c>
      <c r="J15" s="15">
        <v>0</v>
      </c>
      <c r="K15" s="15">
        <v>0</v>
      </c>
      <c r="L15" s="15">
        <v>0</v>
      </c>
      <c r="M15" s="15">
        <v>0</v>
      </c>
      <c r="N15" s="15">
        <v>0</v>
      </c>
      <c r="O15" s="15">
        <v>0</v>
      </c>
    </row>
    <row r="16" ht="15" customHeight="1" spans="1:15">
      <c r="B16" s="13" t="s">
        <v>306</v>
      </c>
      <c r="C16" s="14">
        <v>0</v>
      </c>
      <c r="D16" s="14">
        <v>0</v>
      </c>
      <c r="E16" s="15">
        <v>0</v>
      </c>
      <c r="F16" s="15">
        <v>0</v>
      </c>
      <c r="G16" s="15">
        <v>0</v>
      </c>
      <c r="H16" s="15">
        <v>0</v>
      </c>
      <c r="I16" s="15">
        <v>0</v>
      </c>
      <c r="J16" s="15">
        <v>0</v>
      </c>
      <c r="K16" s="15">
        <v>0</v>
      </c>
      <c r="L16" s="15">
        <v>0</v>
      </c>
      <c r="M16" s="15">
        <v>0</v>
      </c>
      <c r="N16" s="15">
        <v>0</v>
      </c>
      <c r="O16" s="15">
        <v>0</v>
      </c>
    </row>
    <row r="17" ht="15" customHeight="1" spans="1:15">
      <c r="B17" s="13" t="s">
        <v>307</v>
      </c>
      <c r="C17" s="14">
        <v>0</v>
      </c>
      <c r="D17" s="14">
        <v>0</v>
      </c>
      <c r="E17" s="15">
        <v>0</v>
      </c>
      <c r="F17" s="15">
        <v>0</v>
      </c>
      <c r="G17" s="15">
        <v>0</v>
      </c>
      <c r="H17" s="15">
        <v>0</v>
      </c>
      <c r="I17" s="15">
        <v>0</v>
      </c>
      <c r="J17" s="15">
        <v>0</v>
      </c>
      <c r="K17" s="15">
        <v>0</v>
      </c>
      <c r="L17" s="15">
        <v>0</v>
      </c>
      <c r="M17" s="15">
        <v>0</v>
      </c>
      <c r="N17" s="15">
        <v>0</v>
      </c>
      <c r="O17" s="15">
        <v>0</v>
      </c>
    </row>
    <row r="18" ht="15" customHeight="1" spans="1:15">
      <c r="B18" s="16" t="s">
        <v>308</v>
      </c>
      <c r="C18" s="17">
        <v>0</v>
      </c>
      <c r="D18" s="17">
        <v>0</v>
      </c>
      <c r="E18" s="18">
        <v>0</v>
      </c>
      <c r="F18" s="18">
        <v>0</v>
      </c>
      <c r="G18" s="18">
        <v>0</v>
      </c>
      <c r="H18" s="18">
        <v>0</v>
      </c>
      <c r="I18" s="18">
        <v>0</v>
      </c>
      <c r="J18" s="18">
        <v>0</v>
      </c>
      <c r="K18" s="18">
        <v>0</v>
      </c>
      <c r="L18" s="18">
        <v>0</v>
      </c>
      <c r="M18" s="18">
        <v>0</v>
      </c>
      <c r="N18" s="18">
        <v>0</v>
      </c>
      <c r="O18" s="18">
        <v>0</v>
      </c>
    </row>
    <row r="19" s="1" customFormat="1" ht="15" customHeight="1" spans="1:15">
      <c r="A19" s="10"/>
      <c r="B19" s="19" t="s">
        <v>309</v>
      </c>
      <c r="C19" s="20">
        <f>SUBTOTAL(109,固定资产[上一年度])</f>
        <v>0</v>
      </c>
      <c r="D19" s="20">
        <f>SUBTOTAL(109,固定资产[1月])</f>
        <v>0</v>
      </c>
      <c r="E19" s="20">
        <f>SUBTOTAL(109,固定资产[2月])</f>
        <v>0</v>
      </c>
      <c r="F19" s="20">
        <f>SUBTOTAL(109,固定资产[3月])</f>
        <v>0</v>
      </c>
      <c r="G19" s="20">
        <f>SUBTOTAL(109,固定资产[4月])</f>
        <v>0</v>
      </c>
      <c r="H19" s="20">
        <f>SUBTOTAL(109,固定资产[5月])</f>
        <v>0</v>
      </c>
      <c r="I19" s="20">
        <f>SUBTOTAL(109,固定资产[6月])</f>
        <v>0</v>
      </c>
      <c r="J19" s="20">
        <f>SUBTOTAL(109,固定资产[7月])</f>
        <v>0</v>
      </c>
      <c r="K19" s="20">
        <f>SUBTOTAL(109,固定资产[8月])</f>
        <v>0</v>
      </c>
      <c r="L19" s="20">
        <f>SUBTOTAL(109,固定资产[9月])</f>
        <v>0</v>
      </c>
      <c r="M19" s="20">
        <f>SUBTOTAL(109,固定资产[10月])</f>
        <v>0</v>
      </c>
      <c r="N19" s="20">
        <f>SUBTOTAL(109,固定资产[11月])</f>
        <v>0</v>
      </c>
      <c r="O19" s="20">
        <f>SUBTOTAL(109,固定资产[12月])</f>
        <v>0</v>
      </c>
    </row>
    <row r="20" ht="15.95" spans="1:15">
      <c r="J20" s="3"/>
    </row>
    <row r="21" s="1" customFormat="1" ht="15" customHeight="1" spans="1:15">
      <c r="A21" s="10" t="s">
        <v>310</v>
      </c>
      <c r="B21" s="11" t="s">
        <v>311</v>
      </c>
      <c r="C21" s="12" t="s">
        <v>285</v>
      </c>
      <c r="D21" s="12" t="s">
        <v>286</v>
      </c>
      <c r="E21" s="12" t="s">
        <v>287</v>
      </c>
      <c r="F21" s="12" t="s">
        <v>288</v>
      </c>
      <c r="G21" s="12" t="s">
        <v>289</v>
      </c>
      <c r="H21" s="12" t="s">
        <v>290</v>
      </c>
      <c r="I21" s="12" t="s">
        <v>291</v>
      </c>
      <c r="J21" s="12" t="s">
        <v>292</v>
      </c>
      <c r="K21" s="12" t="s">
        <v>293</v>
      </c>
      <c r="L21" s="12" t="s">
        <v>294</v>
      </c>
      <c r="M21" s="12" t="s">
        <v>295</v>
      </c>
      <c r="N21" s="12" t="s">
        <v>296</v>
      </c>
      <c r="O21" s="12" t="s">
        <v>297</v>
      </c>
    </row>
    <row r="22" ht="15" customHeight="1" spans="1:15">
      <c r="B22" s="16" t="s">
        <v>312</v>
      </c>
      <c r="C22" s="17">
        <v>0</v>
      </c>
      <c r="D22" s="17">
        <v>0</v>
      </c>
      <c r="E22" s="18">
        <v>0</v>
      </c>
      <c r="F22" s="18">
        <v>0</v>
      </c>
      <c r="G22" s="18">
        <v>0</v>
      </c>
      <c r="H22" s="18">
        <v>0</v>
      </c>
      <c r="I22" s="18">
        <v>0</v>
      </c>
      <c r="J22" s="18">
        <v>0</v>
      </c>
      <c r="K22" s="18">
        <v>0</v>
      </c>
      <c r="L22" s="18">
        <v>0</v>
      </c>
      <c r="M22" s="18">
        <v>0</v>
      </c>
      <c r="N22" s="18">
        <v>0</v>
      </c>
      <c r="O22" s="18">
        <v>0</v>
      </c>
    </row>
    <row r="23" s="1" customFormat="1" ht="15" customHeight="1" spans="1:15">
      <c r="A23" s="10"/>
      <c r="B23" s="19" t="s">
        <v>313</v>
      </c>
      <c r="C23" s="20">
        <f>SUBTOTAL(109,其他资产[上一年度])</f>
        <v>0</v>
      </c>
      <c r="D23" s="20">
        <f>SUBTOTAL(109,其他资产[1月])</f>
        <v>0</v>
      </c>
      <c r="E23" s="20">
        <f>SUBTOTAL(109,其他资产[2月])</f>
        <v>0</v>
      </c>
      <c r="F23" s="20">
        <f>SUBTOTAL(109,其他资产[3月])</f>
        <v>0</v>
      </c>
      <c r="G23" s="20">
        <f>SUBTOTAL(109,其他资产[4月])</f>
        <v>0</v>
      </c>
      <c r="H23" s="20">
        <f>SUBTOTAL(109,其他资产[5月])</f>
        <v>0</v>
      </c>
      <c r="I23" s="20">
        <f>SUBTOTAL(109,其他资产[6月])</f>
        <v>0</v>
      </c>
      <c r="J23" s="20">
        <f>SUBTOTAL(109,其他资产[7月])</f>
        <v>0</v>
      </c>
      <c r="K23" s="20">
        <f>SUBTOTAL(109,其他资产[8月])</f>
        <v>0</v>
      </c>
      <c r="L23" s="20">
        <f>SUBTOTAL(109,其他资产[9月])</f>
        <v>0</v>
      </c>
      <c r="M23" s="20">
        <f>SUBTOTAL(109,其他资产[10月])</f>
        <v>0</v>
      </c>
      <c r="N23" s="20">
        <f>SUBTOTAL(109,其他资产[11月])</f>
        <v>0</v>
      </c>
      <c r="O23" s="20">
        <f>SUBTOTAL(109,其他资产[12月])</f>
        <v>0</v>
      </c>
    </row>
    <row r="24" spans="1:15">
      <c r="B24" s="21"/>
      <c r="D24" s="9"/>
      <c r="E24" s="9"/>
      <c r="F24" s="9"/>
      <c r="G24" s="9"/>
      <c r="H24" s="9"/>
      <c r="I24" s="9"/>
      <c r="J24" s="9"/>
      <c r="K24" s="9"/>
      <c r="L24" s="9"/>
      <c r="M24" s="9"/>
      <c r="N24" s="9"/>
      <c r="O24" s="9"/>
    </row>
    <row r="25" ht="18" customHeight="1" spans="1:15">
      <c r="A25" s="2" t="s">
        <v>314</v>
      </c>
      <c r="B25" s="22" t="s">
        <v>315</v>
      </c>
      <c r="C25" s="23">
        <f>其他资产[[#Totals],[上一年度]]+固定资产[[#Totals],[上一年度]]+流动资产[[#Totals],[上一年度]]</f>
        <v>0</v>
      </c>
      <c r="D25" s="23">
        <f>其他资产[[#Totals],[1月]]+固定资产[[#Totals],[1月]]+流动资产[[#Totals],[1月]]</f>
        <v>0</v>
      </c>
      <c r="E25" s="23">
        <f>其他资产[[#Totals],[2月]]+固定资产[[#Totals],[2月]]+流动资产[[#Totals],[2月]]</f>
        <v>0</v>
      </c>
      <c r="F25" s="23">
        <f>其他资产[[#Totals],[3月]]+固定资产[[#Totals],[3月]]+流动资产[[#Totals],[3月]]</f>
        <v>0</v>
      </c>
      <c r="G25" s="23">
        <f>其他资产[[#Totals],[4月]]+固定资产[[#Totals],[4月]]+流动资产[[#Totals],[4月]]</f>
        <v>0</v>
      </c>
      <c r="H25" s="23">
        <f>其他资产[[#Totals],[5月]]+固定资产[[#Totals],[5月]]+流动资产[[#Totals],[5月]]</f>
        <v>0</v>
      </c>
      <c r="I25" s="23">
        <f>其他资产[[#Totals],[6月]]+固定资产[[#Totals],[6月]]+流动资产[[#Totals],[6月]]</f>
        <v>0</v>
      </c>
      <c r="J25" s="23">
        <f>其他资产[[#Totals],[7月]]+固定资产[[#Totals],[7月]]+流动资产[[#Totals],[7月]]</f>
        <v>0</v>
      </c>
      <c r="K25" s="23">
        <f>其他资产[[#Totals],[8月]]+固定资产[[#Totals],[8月]]+流动资产[[#Totals],[8月]]</f>
        <v>0</v>
      </c>
      <c r="L25" s="23">
        <f>其他资产[[#Totals],[9月]]+固定资产[[#Totals],[9月]]+流动资产[[#Totals],[9月]]</f>
        <v>0</v>
      </c>
      <c r="M25" s="23">
        <f>其他资产[[#Totals],[10月]]+固定资产[[#Totals],[10月]]+流动资产[[#Totals],[10月]]</f>
        <v>0</v>
      </c>
      <c r="N25" s="23">
        <f>其他资产[[#Totals],[11月]]+固定资产[[#Totals],[11月]]+流动资产[[#Totals],[11月]]</f>
        <v>0</v>
      </c>
      <c r="O25" s="23">
        <f>其他资产[[#Totals],[12月]]+固定资产[[#Totals],[12月]]+流动资产[[#Totals],[12月]]</f>
        <v>0</v>
      </c>
    </row>
    <row r="26" ht="18.75" customHeight="1" spans="1:15">
      <c r="B26" s="24"/>
      <c r="C26" s="25"/>
      <c r="D26" s="25"/>
      <c r="E26" s="25"/>
      <c r="F26" s="25"/>
      <c r="G26" s="25"/>
      <c r="H26" s="25"/>
      <c r="I26" s="25"/>
      <c r="J26" s="25"/>
      <c r="K26" s="25"/>
      <c r="L26" s="25"/>
      <c r="M26" s="25"/>
      <c r="N26" s="25"/>
      <c r="O26" s="25"/>
    </row>
    <row r="27" ht="16" customHeight="1" spans="1:15">
      <c r="A27" s="2" t="s">
        <v>316</v>
      </c>
      <c r="B27" s="8" t="s">
        <v>317</v>
      </c>
      <c r="D27" s="9"/>
      <c r="E27" s="9"/>
      <c r="F27" s="9"/>
      <c r="G27" s="9"/>
      <c r="H27" s="9"/>
      <c r="I27" s="9"/>
      <c r="J27" s="9"/>
      <c r="K27" s="9"/>
      <c r="L27" s="9"/>
      <c r="M27" s="9"/>
      <c r="N27" s="9"/>
      <c r="O27" s="9"/>
    </row>
    <row r="28" s="1" customFormat="1" ht="15" customHeight="1" spans="1:15">
      <c r="A28" s="10" t="s">
        <v>318</v>
      </c>
      <c r="B28" s="26" t="s">
        <v>319</v>
      </c>
      <c r="C28" s="27" t="s">
        <v>285</v>
      </c>
      <c r="D28" s="27" t="s">
        <v>286</v>
      </c>
      <c r="E28" s="27" t="s">
        <v>287</v>
      </c>
      <c r="F28" s="27" t="s">
        <v>288</v>
      </c>
      <c r="G28" s="27" t="s">
        <v>289</v>
      </c>
      <c r="H28" s="27" t="s">
        <v>290</v>
      </c>
      <c r="I28" s="27" t="s">
        <v>291</v>
      </c>
      <c r="J28" s="27" t="s">
        <v>292</v>
      </c>
      <c r="K28" s="27" t="s">
        <v>293</v>
      </c>
      <c r="L28" s="27" t="s">
        <v>294</v>
      </c>
      <c r="M28" s="27" t="s">
        <v>295</v>
      </c>
      <c r="N28" s="27" t="s">
        <v>296</v>
      </c>
      <c r="O28" s="27" t="s">
        <v>297</v>
      </c>
    </row>
    <row r="29" ht="15" customHeight="1" spans="1:15">
      <c r="B29" s="28" t="s">
        <v>320</v>
      </c>
      <c r="C29" s="29">
        <v>0</v>
      </c>
      <c r="D29" s="29">
        <v>0</v>
      </c>
      <c r="E29" s="30">
        <v>0</v>
      </c>
      <c r="F29" s="30">
        <v>0</v>
      </c>
      <c r="G29" s="30">
        <v>0</v>
      </c>
      <c r="H29" s="30">
        <v>0</v>
      </c>
      <c r="I29" s="30">
        <v>0</v>
      </c>
      <c r="J29" s="30">
        <v>0</v>
      </c>
      <c r="K29" s="30">
        <v>0</v>
      </c>
      <c r="L29" s="30">
        <v>0</v>
      </c>
      <c r="M29" s="30">
        <v>0</v>
      </c>
      <c r="N29" s="30">
        <v>0</v>
      </c>
      <c r="O29" s="30">
        <v>0</v>
      </c>
    </row>
    <row r="30" ht="15" customHeight="1" spans="1:15">
      <c r="B30" s="28" t="s">
        <v>321</v>
      </c>
      <c r="C30" s="29">
        <v>0</v>
      </c>
      <c r="D30" s="29">
        <v>0</v>
      </c>
      <c r="E30" s="30">
        <v>0</v>
      </c>
      <c r="F30" s="30">
        <v>0</v>
      </c>
      <c r="G30" s="30">
        <v>0</v>
      </c>
      <c r="H30" s="30">
        <v>0</v>
      </c>
      <c r="I30" s="30">
        <v>0</v>
      </c>
      <c r="J30" s="30">
        <v>0</v>
      </c>
      <c r="K30" s="30">
        <v>0</v>
      </c>
      <c r="L30" s="30">
        <v>0</v>
      </c>
      <c r="M30" s="30">
        <v>0</v>
      </c>
      <c r="N30" s="30">
        <v>0</v>
      </c>
      <c r="O30" s="30">
        <v>0</v>
      </c>
    </row>
    <row r="31" ht="15" customHeight="1" spans="1:15">
      <c r="B31" s="28" t="s">
        <v>322</v>
      </c>
      <c r="C31" s="29">
        <v>0</v>
      </c>
      <c r="D31" s="29">
        <v>0</v>
      </c>
      <c r="E31" s="30">
        <v>0</v>
      </c>
      <c r="F31" s="30">
        <v>0</v>
      </c>
      <c r="G31" s="30">
        <v>0</v>
      </c>
      <c r="H31" s="30">
        <v>0</v>
      </c>
      <c r="I31" s="30">
        <v>0</v>
      </c>
      <c r="J31" s="30">
        <v>0</v>
      </c>
      <c r="K31" s="30">
        <v>0</v>
      </c>
      <c r="L31" s="30">
        <v>0</v>
      </c>
      <c r="M31" s="30">
        <v>0</v>
      </c>
      <c r="N31" s="30">
        <v>0</v>
      </c>
      <c r="O31" s="30">
        <v>0</v>
      </c>
    </row>
    <row r="32" ht="15" customHeight="1" spans="1:15">
      <c r="B32" s="28" t="s">
        <v>323</v>
      </c>
      <c r="C32" s="29">
        <v>0</v>
      </c>
      <c r="D32" s="29">
        <v>0</v>
      </c>
      <c r="E32" s="30">
        <v>0</v>
      </c>
      <c r="F32" s="30">
        <v>0</v>
      </c>
      <c r="G32" s="30">
        <v>0</v>
      </c>
      <c r="H32" s="30">
        <v>0</v>
      </c>
      <c r="I32" s="30">
        <v>0</v>
      </c>
      <c r="J32" s="30">
        <v>0</v>
      </c>
      <c r="K32" s="30">
        <v>0</v>
      </c>
      <c r="L32" s="30">
        <v>0</v>
      </c>
      <c r="M32" s="30">
        <v>0</v>
      </c>
      <c r="N32" s="30">
        <v>0</v>
      </c>
      <c r="O32" s="30">
        <v>0</v>
      </c>
    </row>
    <row r="33" ht="15" customHeight="1" spans="1:15">
      <c r="B33" s="28" t="s">
        <v>324</v>
      </c>
      <c r="C33" s="29">
        <v>0</v>
      </c>
      <c r="D33" s="29">
        <v>0</v>
      </c>
      <c r="E33" s="30">
        <v>0</v>
      </c>
      <c r="F33" s="30">
        <v>0</v>
      </c>
      <c r="G33" s="30">
        <v>0</v>
      </c>
      <c r="H33" s="30">
        <v>0</v>
      </c>
      <c r="I33" s="30">
        <v>0</v>
      </c>
      <c r="J33" s="30">
        <v>0</v>
      </c>
      <c r="K33" s="30">
        <v>0</v>
      </c>
      <c r="L33" s="30">
        <v>0</v>
      </c>
      <c r="M33" s="30">
        <v>0</v>
      </c>
      <c r="N33" s="30">
        <v>0</v>
      </c>
      <c r="O33" s="30">
        <v>0</v>
      </c>
    </row>
    <row r="34" ht="15" customHeight="1" spans="1:15">
      <c r="B34" s="31" t="s">
        <v>110</v>
      </c>
      <c r="C34" s="32">
        <v>0</v>
      </c>
      <c r="D34" s="32">
        <v>0</v>
      </c>
      <c r="E34" s="33">
        <v>0</v>
      </c>
      <c r="F34" s="33">
        <v>0</v>
      </c>
      <c r="G34" s="33">
        <v>0</v>
      </c>
      <c r="H34" s="33">
        <v>0</v>
      </c>
      <c r="I34" s="33">
        <v>0</v>
      </c>
      <c r="J34" s="33">
        <v>0</v>
      </c>
      <c r="K34" s="33">
        <v>0</v>
      </c>
      <c r="L34" s="33">
        <v>0</v>
      </c>
      <c r="M34" s="33">
        <v>0</v>
      </c>
      <c r="N34" s="33">
        <v>0</v>
      </c>
      <c r="O34" s="33">
        <v>0</v>
      </c>
    </row>
    <row r="35" s="1" customFormat="1" ht="15" customHeight="1" spans="1:15">
      <c r="A35" s="10"/>
      <c r="B35" s="34" t="s">
        <v>325</v>
      </c>
      <c r="C35" s="35">
        <f>SUBTOTAL(109,流动负债[上一年度])</f>
        <v>0</v>
      </c>
      <c r="D35" s="35">
        <f>SUBTOTAL(109,流动负债[1月])</f>
        <v>0</v>
      </c>
      <c r="E35" s="35">
        <f>SUBTOTAL(109,流动负债[2月])</f>
        <v>0</v>
      </c>
      <c r="F35" s="35">
        <f>SUBTOTAL(109,流动负债[3月])</f>
        <v>0</v>
      </c>
      <c r="G35" s="35">
        <f>SUBTOTAL(109,流动负债[4月])</f>
        <v>0</v>
      </c>
      <c r="H35" s="35">
        <f>SUBTOTAL(109,流动负债[5月])</f>
        <v>0</v>
      </c>
      <c r="I35" s="35">
        <f>SUBTOTAL(109,流动负债[6月])</f>
        <v>0</v>
      </c>
      <c r="J35" s="35">
        <f>SUBTOTAL(109,流动负债[7月])</f>
        <v>0</v>
      </c>
      <c r="K35" s="35">
        <f>SUBTOTAL(109,流动负债[8月])</f>
        <v>0</v>
      </c>
      <c r="L35" s="35">
        <f>SUBTOTAL(109,流动负债[9月])</f>
        <v>0</v>
      </c>
      <c r="M35" s="35">
        <f>SUBTOTAL(109,流动负债[10月])</f>
        <v>0</v>
      </c>
      <c r="N35" s="35">
        <f>SUBTOTAL(109,流动负债[11月])</f>
        <v>0</v>
      </c>
      <c r="O35" s="35">
        <f>SUBTOTAL(109,流动负债[12月])</f>
        <v>0</v>
      </c>
    </row>
    <row r="36" ht="15.95" spans="1:15">
      <c r="J36" s="3"/>
    </row>
    <row r="37" s="1" customFormat="1" ht="15" customHeight="1" spans="1:15">
      <c r="A37" s="10" t="s">
        <v>326</v>
      </c>
      <c r="B37" s="26" t="s">
        <v>327</v>
      </c>
      <c r="C37" s="27" t="s">
        <v>285</v>
      </c>
      <c r="D37" s="27" t="s">
        <v>286</v>
      </c>
      <c r="E37" s="27" t="s">
        <v>287</v>
      </c>
      <c r="F37" s="27" t="s">
        <v>288</v>
      </c>
      <c r="G37" s="27" t="s">
        <v>289</v>
      </c>
      <c r="H37" s="27" t="s">
        <v>290</v>
      </c>
      <c r="I37" s="27" t="s">
        <v>291</v>
      </c>
      <c r="J37" s="27" t="s">
        <v>292</v>
      </c>
      <c r="K37" s="27" t="s">
        <v>293</v>
      </c>
      <c r="L37" s="27" t="s">
        <v>294</v>
      </c>
      <c r="M37" s="27" t="s">
        <v>295</v>
      </c>
      <c r="N37" s="27" t="s">
        <v>296</v>
      </c>
      <c r="O37" s="27" t="s">
        <v>297</v>
      </c>
    </row>
    <row r="38" ht="15" customHeight="1" spans="1:15">
      <c r="B38" s="31" t="s">
        <v>328</v>
      </c>
      <c r="C38" s="32">
        <v>0</v>
      </c>
      <c r="D38" s="32">
        <v>0</v>
      </c>
      <c r="E38" s="33">
        <v>0</v>
      </c>
      <c r="F38" s="33">
        <v>0</v>
      </c>
      <c r="G38" s="33">
        <v>0</v>
      </c>
      <c r="H38" s="33">
        <v>0</v>
      </c>
      <c r="I38" s="33">
        <v>0</v>
      </c>
      <c r="J38" s="33">
        <v>0</v>
      </c>
      <c r="K38" s="33">
        <v>0</v>
      </c>
      <c r="L38" s="33">
        <v>0</v>
      </c>
      <c r="M38" s="33">
        <v>0</v>
      </c>
      <c r="N38" s="33">
        <v>0</v>
      </c>
      <c r="O38" s="33">
        <v>0</v>
      </c>
    </row>
    <row r="39" s="1" customFormat="1" ht="15" customHeight="1" spans="1:15">
      <c r="A39" s="10"/>
      <c r="B39" s="34" t="s">
        <v>329</v>
      </c>
      <c r="C39" s="35">
        <f>SUBTOTAL(109,长期负债[上一年度])</f>
        <v>0</v>
      </c>
      <c r="D39" s="35">
        <f>SUBTOTAL(109,长期负债[1月])</f>
        <v>0</v>
      </c>
      <c r="E39" s="35">
        <f>SUBTOTAL(109,长期负债[2月])</f>
        <v>0</v>
      </c>
      <c r="F39" s="35">
        <f>SUBTOTAL(109,长期负债[3月])</f>
        <v>0</v>
      </c>
      <c r="G39" s="35">
        <f>SUBTOTAL(109,长期负债[4月])</f>
        <v>0</v>
      </c>
      <c r="H39" s="35">
        <f>SUBTOTAL(109,长期负债[5月])</f>
        <v>0</v>
      </c>
      <c r="I39" s="35">
        <f>SUBTOTAL(109,长期负债[6月])</f>
        <v>0</v>
      </c>
      <c r="J39" s="35">
        <f>SUBTOTAL(109,长期负债[7月])</f>
        <v>0</v>
      </c>
      <c r="K39" s="35">
        <f>SUBTOTAL(109,长期负债[8月])</f>
        <v>0</v>
      </c>
      <c r="L39" s="35">
        <f>SUBTOTAL(109,长期负债[9月])</f>
        <v>0</v>
      </c>
      <c r="M39" s="35">
        <f>SUBTOTAL(109,长期负债[10月])</f>
        <v>0</v>
      </c>
      <c r="N39" s="35">
        <f>SUBTOTAL(109,长期负债[11月])</f>
        <v>0</v>
      </c>
      <c r="O39" s="35">
        <f>SUBTOTAL(109,长期负债[12月])</f>
        <v>0</v>
      </c>
    </row>
    <row r="40" ht="15.95" spans="1:15">
      <c r="J40" s="3"/>
    </row>
    <row r="41" s="1" customFormat="1" ht="15" customHeight="1" spans="1:15">
      <c r="A41" s="10" t="s">
        <v>330</v>
      </c>
      <c r="B41" s="26" t="s">
        <v>331</v>
      </c>
      <c r="C41" s="27" t="s">
        <v>285</v>
      </c>
      <c r="D41" s="27" t="s">
        <v>286</v>
      </c>
      <c r="E41" s="27" t="s">
        <v>287</v>
      </c>
      <c r="F41" s="27" t="s">
        <v>288</v>
      </c>
      <c r="G41" s="27" t="s">
        <v>289</v>
      </c>
      <c r="H41" s="27" t="s">
        <v>290</v>
      </c>
      <c r="I41" s="27" t="s">
        <v>291</v>
      </c>
      <c r="J41" s="27" t="s">
        <v>292</v>
      </c>
      <c r="K41" s="27" t="s">
        <v>293</v>
      </c>
      <c r="L41" s="27" t="s">
        <v>294</v>
      </c>
      <c r="M41" s="27" t="s">
        <v>295</v>
      </c>
      <c r="N41" s="27" t="s">
        <v>296</v>
      </c>
      <c r="O41" s="27" t="s">
        <v>297</v>
      </c>
    </row>
    <row r="42" ht="15" customHeight="1" spans="1:15">
      <c r="B42" s="28" t="s">
        <v>332</v>
      </c>
      <c r="C42" s="29">
        <v>0</v>
      </c>
      <c r="D42" s="29">
        <v>0</v>
      </c>
      <c r="E42" s="30">
        <v>0</v>
      </c>
      <c r="F42" s="30">
        <v>0</v>
      </c>
      <c r="G42" s="30">
        <v>0</v>
      </c>
      <c r="H42" s="30">
        <v>0</v>
      </c>
      <c r="I42" s="30">
        <v>0</v>
      </c>
      <c r="J42" s="30">
        <v>0</v>
      </c>
      <c r="K42" s="30">
        <v>0</v>
      </c>
      <c r="L42" s="30">
        <v>0</v>
      </c>
      <c r="M42" s="30">
        <v>0</v>
      </c>
      <c r="N42" s="30">
        <v>0</v>
      </c>
      <c r="O42" s="30">
        <v>0</v>
      </c>
    </row>
    <row r="43" ht="15" customHeight="1" spans="1:15">
      <c r="B43" s="31" t="s">
        <v>333</v>
      </c>
      <c r="C43" s="32">
        <v>0</v>
      </c>
      <c r="D43" s="32">
        <v>0</v>
      </c>
      <c r="E43" s="33">
        <v>0</v>
      </c>
      <c r="F43" s="33">
        <v>0</v>
      </c>
      <c r="G43" s="33">
        <v>0</v>
      </c>
      <c r="H43" s="33">
        <v>0</v>
      </c>
      <c r="I43" s="33">
        <v>0</v>
      </c>
      <c r="J43" s="33">
        <v>0</v>
      </c>
      <c r="K43" s="33">
        <v>0</v>
      </c>
      <c r="L43" s="33">
        <v>0</v>
      </c>
      <c r="M43" s="33">
        <v>0</v>
      </c>
      <c r="N43" s="33">
        <v>0</v>
      </c>
      <c r="O43" s="33">
        <v>0</v>
      </c>
    </row>
    <row r="44" s="1" customFormat="1" ht="15" customHeight="1" spans="1:15">
      <c r="A44" s="10"/>
      <c r="B44" s="34" t="s">
        <v>334</v>
      </c>
      <c r="C44" s="35">
        <f>SUBTOTAL(109,所有者权益[上一年度])</f>
        <v>0</v>
      </c>
      <c r="D44" s="35">
        <f>SUBTOTAL(109,所有者权益[1月])</f>
        <v>0</v>
      </c>
      <c r="E44" s="35">
        <f>SUBTOTAL(109,所有者权益[2月])</f>
        <v>0</v>
      </c>
      <c r="F44" s="35">
        <f>SUBTOTAL(109,所有者权益[3月])</f>
        <v>0</v>
      </c>
      <c r="G44" s="35">
        <f>SUBTOTAL(109,所有者权益[4月])</f>
        <v>0</v>
      </c>
      <c r="H44" s="35">
        <f>SUBTOTAL(109,所有者权益[5月])</f>
        <v>0</v>
      </c>
      <c r="I44" s="35">
        <f>SUBTOTAL(109,所有者权益[6月])</f>
        <v>0</v>
      </c>
      <c r="J44" s="35">
        <f>SUBTOTAL(109,所有者权益[7月])</f>
        <v>0</v>
      </c>
      <c r="K44" s="35">
        <f>SUBTOTAL(109,所有者权益[8月])</f>
        <v>0</v>
      </c>
      <c r="L44" s="35">
        <f>SUBTOTAL(109,所有者权益[9月])</f>
        <v>0</v>
      </c>
      <c r="M44" s="35">
        <f>SUBTOTAL(109,所有者权益[10月])</f>
        <v>0</v>
      </c>
      <c r="N44" s="35">
        <f>SUBTOTAL(109,所有者权益[11月])</f>
        <v>0</v>
      </c>
      <c r="O44" s="35">
        <f>SUBTOTAL(109,所有者权益[12月])</f>
        <v>0</v>
      </c>
    </row>
    <row r="45" spans="1:15">
      <c r="J45" s="3"/>
    </row>
    <row r="46" ht="36" customHeight="1" spans="1:15">
      <c r="A46" s="2" t="s">
        <v>335</v>
      </c>
      <c r="B46" s="36" t="s">
        <v>336</v>
      </c>
      <c r="C46" s="37">
        <f>所有者权益[[#Totals],[上一年度]]+长期负债[[#Totals],[上一年度]]+流动负债[[#Totals],[上一年度]]</f>
        <v>0</v>
      </c>
      <c r="D46" s="37">
        <f>所有者权益[[#Totals],[1月]]+长期负债[[#Totals],[1月]]+流动负债[[#Totals],[1月]]</f>
        <v>0</v>
      </c>
      <c r="E46" s="37">
        <f>所有者权益[[#Totals],[2月]]+长期负债[[#Totals],[2月]]+流动负债[[#Totals],[2月]]</f>
        <v>0</v>
      </c>
      <c r="F46" s="37">
        <f>所有者权益[[#Totals],[3月]]+长期负债[[#Totals],[3月]]+流动负债[[#Totals],[3月]]</f>
        <v>0</v>
      </c>
      <c r="G46" s="37">
        <f>所有者权益[[#Totals],[4月]]+长期负债[[#Totals],[4月]]+流动负债[[#Totals],[4月]]</f>
        <v>0</v>
      </c>
      <c r="H46" s="37">
        <f>所有者权益[[#Totals],[5月]]+长期负债[[#Totals],[5月]]+流动负债[[#Totals],[5月]]</f>
        <v>0</v>
      </c>
      <c r="I46" s="37">
        <f>所有者权益[[#Totals],[6月]]+长期负债[[#Totals],[6月]]+流动负债[[#Totals],[6月]]</f>
        <v>0</v>
      </c>
      <c r="J46" s="37">
        <f>所有者权益[[#Totals],[7月]]+长期负债[[#Totals],[7月]]+流动负债[[#Totals],[7月]]</f>
        <v>0</v>
      </c>
      <c r="K46" s="37">
        <f>所有者权益[[#Totals],[8月]]+长期负债[[#Totals],[8月]]+流动负债[[#Totals],[8月]]</f>
        <v>0</v>
      </c>
      <c r="L46" s="37">
        <f>所有者权益[[#Totals],[9月]]+长期负债[[#Totals],[9月]]+流动负债[[#Totals],[9月]]</f>
        <v>0</v>
      </c>
      <c r="M46" s="37">
        <f>所有者权益[[#Totals],[10月]]+长期负债[[#Totals],[10月]]+流动负债[[#Totals],[10月]]</f>
        <v>0</v>
      </c>
      <c r="N46" s="37">
        <f>所有者权益[[#Totals],[11月]]+长期负债[[#Totals],[11月]]+流动负债[[#Totals],[11月]]</f>
        <v>0</v>
      </c>
      <c r="O46" s="37">
        <f>所有者权益[[#Totals],[12月]]+长期负债[[#Totals],[12月]]+流动负债[[#Totals],[12月]]</f>
        <v>0</v>
      </c>
    </row>
    <row r="47" ht="15.95" spans="1:15">
      <c r="D47" s="9"/>
      <c r="E47" s="9"/>
      <c r="F47" s="9"/>
      <c r="G47" s="9"/>
      <c r="H47" s="9"/>
      <c r="I47" s="9"/>
      <c r="J47" s="9"/>
      <c r="K47" s="9"/>
      <c r="L47" s="9"/>
      <c r="M47" s="9"/>
      <c r="N47" s="9"/>
      <c r="O47" s="9"/>
    </row>
    <row r="48" spans="1:15">
      <c r="J48" s="3"/>
    </row>
    <row r="49" ht="17" customHeight="1" spans="1:15">
      <c r="A49" s="2" t="s">
        <v>337</v>
      </c>
      <c r="B49" s="38" t="s">
        <v>338</v>
      </c>
      <c r="C49" s="39">
        <f t="shared" ref="C49:O49" si="0">SUM(C25-C46)</f>
        <v>0</v>
      </c>
      <c r="D49" s="39">
        <f t="shared" si="0"/>
        <v>0</v>
      </c>
      <c r="E49" s="39">
        <f t="shared" si="0"/>
        <v>0</v>
      </c>
      <c r="F49" s="39">
        <f t="shared" si="0"/>
        <v>0</v>
      </c>
      <c r="G49" s="39">
        <f t="shared" si="0"/>
        <v>0</v>
      </c>
      <c r="H49" s="39">
        <f t="shared" si="0"/>
        <v>0</v>
      </c>
      <c r="I49" s="39">
        <f t="shared" si="0"/>
        <v>0</v>
      </c>
      <c r="J49" s="39">
        <f t="shared" si="0"/>
        <v>0</v>
      </c>
      <c r="K49" s="39">
        <f t="shared" si="0"/>
        <v>0</v>
      </c>
      <c r="L49" s="39">
        <f t="shared" si="0"/>
        <v>0</v>
      </c>
      <c r="M49" s="39">
        <f t="shared" si="0"/>
        <v>0</v>
      </c>
      <c r="N49" s="39">
        <f t="shared" si="0"/>
        <v>0</v>
      </c>
      <c r="O49" s="39">
        <f t="shared" si="0"/>
        <v>0</v>
      </c>
    </row>
  </sheetData>
  <mergeCells count="13">
    <mergeCell ref="D1:D2"/>
    <mergeCell ref="E1:E2"/>
    <mergeCell ref="F1:F2"/>
    <mergeCell ref="G1:G2"/>
    <mergeCell ref="H1:H2"/>
    <mergeCell ref="I1:I2"/>
    <mergeCell ref="J1:J2"/>
    <mergeCell ref="K1:K2"/>
    <mergeCell ref="L1:L2"/>
    <mergeCell ref="M1:M2"/>
    <mergeCell ref="N1:N2"/>
    <mergeCell ref="O1:O2"/>
    <mergeCell ref="B1:C2"/>
  </mergeCells>
  <conditionalFormatting sqref="C49:O49">
    <cfRule type="cellIs" dxfId="284" priority="1" operator="lessThan">
      <formula>0</formula>
    </cfRule>
  </conditionalFormatting>
  <printOptions horizontalCentered="1" verticalCentered="1"/>
  <pageMargins left="0.5" right="0.5" top="0.5" bottom="0.5" header="0.5" footer="0.5"/>
  <pageSetup paperSize="9" orientation="portrait"/>
  <headerFooter/>
  <tableParts count="6">
    <tablePart r:id="rId1"/>
    <tablePart r:id="rId2"/>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99984740745262"/>
  </sheetPr>
  <dimension ref="A1"/>
  <sheetViews>
    <sheetView showGridLines="0" showRowColHeaders="0" workbookViewId="0">
      <selection activeCell="A1" sqref="A1"/>
    </sheetView>
  </sheetViews>
  <sheetFormatPr defaultColWidth="9" defaultRowHeight="15.2"/>
  <sheetData/>
  <pageMargins left="0.7" right="0.7" top="0.75" bottom="0.75" header="0.3" footer="0.3"/>
  <pageSetup paperSize="9" firstPageNumber="26214" orientation="landscape" useFirstPageNumber="1"/>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30" sqref="M30"/>
    </sheetView>
  </sheetViews>
  <sheetFormatPr defaultColWidth="9" defaultRowHeight="15.2"/>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A12" sqref="A12"/>
    </sheetView>
  </sheetViews>
  <sheetFormatPr defaultColWidth="9" defaultRowHeight="15.2"/>
  <cols>
    <col min="9" max="9" width="12.35" customWidth="1"/>
  </cols>
  <sheetData>
    <row r="1" spans="1:14">
      <c r="A1" t="s">
        <v>2</v>
      </c>
      <c r="B1" t="s">
        <v>339</v>
      </c>
      <c r="C1" t="s">
        <v>7</v>
      </c>
      <c r="D1" t="s">
        <v>8</v>
      </c>
      <c r="E1" t="s">
        <v>340</v>
      </c>
      <c r="F1" t="s">
        <v>6</v>
      </c>
      <c r="G1" t="s">
        <v>341</v>
      </c>
      <c r="H1" t="s">
        <v>342</v>
      </c>
      <c r="I1" t="s">
        <v>5</v>
      </c>
      <c r="J1" t="s">
        <v>343</v>
      </c>
      <c r="K1" t="s">
        <v>344</v>
      </c>
      <c r="L1" t="s">
        <v>345</v>
      </c>
      <c r="M1" t="s">
        <v>346</v>
      </c>
      <c r="N1" t="s">
        <v>347</v>
      </c>
    </row>
    <row r="2" spans="1:14">
      <c r="A2" t="s">
        <v>348</v>
      </c>
      <c r="B2" t="s">
        <v>349</v>
      </c>
      <c r="C2" t="s">
        <v>226</v>
      </c>
      <c r="D2">
        <v>592.9</v>
      </c>
      <c r="E2" t="s">
        <v>228</v>
      </c>
      <c r="F2" t="s">
        <v>350</v>
      </c>
      <c r="G2" t="s">
        <v>351</v>
      </c>
      <c r="H2" t="s">
        <v>352</v>
      </c>
      <c r="I2" t="s">
        <v>353</v>
      </c>
      <c r="J2" t="s">
        <v>354</v>
      </c>
      <c r="K2" t="s">
        <v>355</v>
      </c>
      <c r="L2" t="s">
        <v>356</v>
      </c>
      <c r="M2" t="s">
        <v>357</v>
      </c>
      <c r="N2" t="s">
        <v>358</v>
      </c>
    </row>
    <row r="3" spans="1:14">
      <c r="A3" t="s">
        <v>359</v>
      </c>
      <c r="B3" t="s">
        <v>349</v>
      </c>
      <c r="C3" t="s">
        <v>226</v>
      </c>
      <c r="D3">
        <v>576</v>
      </c>
      <c r="E3" t="s">
        <v>228</v>
      </c>
      <c r="F3" t="s">
        <v>360</v>
      </c>
      <c r="G3" t="s">
        <v>361</v>
      </c>
      <c r="H3" t="s">
        <v>352</v>
      </c>
      <c r="I3" t="s">
        <v>362</v>
      </c>
      <c r="J3" t="s">
        <v>354</v>
      </c>
      <c r="K3" t="s">
        <v>62</v>
      </c>
      <c r="L3" t="s">
        <v>363</v>
      </c>
      <c r="M3" t="s">
        <v>357</v>
      </c>
      <c r="N3" t="s">
        <v>364</v>
      </c>
    </row>
    <row r="4" spans="1:14">
      <c r="A4" t="s">
        <v>365</v>
      </c>
      <c r="B4" t="s">
        <v>366</v>
      </c>
      <c r="C4" t="s">
        <v>4</v>
      </c>
      <c r="D4">
        <v>700</v>
      </c>
      <c r="E4" t="s">
        <v>239</v>
      </c>
      <c r="F4" t="s">
        <v>367</v>
      </c>
      <c r="G4" t="s">
        <v>368</v>
      </c>
      <c r="H4" t="s">
        <v>369</v>
      </c>
      <c r="I4" t="s">
        <v>370</v>
      </c>
      <c r="J4" t="s">
        <v>354</v>
      </c>
      <c r="K4" t="s">
        <v>62</v>
      </c>
      <c r="L4" t="s">
        <v>371</v>
      </c>
      <c r="M4" t="s">
        <v>357</v>
      </c>
      <c r="N4" t="s">
        <v>372</v>
      </c>
    </row>
    <row r="5" spans="1:14">
      <c r="A5" t="s">
        <v>373</v>
      </c>
      <c r="B5" t="s">
        <v>366</v>
      </c>
      <c r="C5" t="s">
        <v>226</v>
      </c>
      <c r="D5">
        <v>44.6</v>
      </c>
      <c r="E5" t="s">
        <v>228</v>
      </c>
      <c r="F5" t="s">
        <v>374</v>
      </c>
      <c r="G5" t="s">
        <v>375</v>
      </c>
      <c r="H5" t="s">
        <v>369</v>
      </c>
      <c r="I5" t="s">
        <v>376</v>
      </c>
      <c r="J5" t="s">
        <v>354</v>
      </c>
      <c r="K5" t="s">
        <v>62</v>
      </c>
      <c r="L5" t="s">
        <v>377</v>
      </c>
      <c r="M5" t="s">
        <v>357</v>
      </c>
      <c r="N5" t="s">
        <v>378</v>
      </c>
    </row>
    <row r="6" spans="1:14">
      <c r="A6" t="s">
        <v>379</v>
      </c>
      <c r="B6" t="s">
        <v>366</v>
      </c>
      <c r="C6" t="s">
        <v>4</v>
      </c>
      <c r="D6">
        <v>10000</v>
      </c>
      <c r="E6" t="s">
        <v>380</v>
      </c>
      <c r="F6" t="s">
        <v>381</v>
      </c>
      <c r="G6" t="s">
        <v>382</v>
      </c>
      <c r="H6" t="s">
        <v>352</v>
      </c>
      <c r="I6" t="s">
        <v>383</v>
      </c>
      <c r="J6" t="s">
        <v>354</v>
      </c>
      <c r="K6" t="s">
        <v>62</v>
      </c>
      <c r="L6" t="s">
        <v>384</v>
      </c>
      <c r="M6" t="s">
        <v>357</v>
      </c>
      <c r="N6" t="s">
        <v>385</v>
      </c>
    </row>
    <row r="7" spans="1:14">
      <c r="A7" t="s">
        <v>386</v>
      </c>
      <c r="B7" t="s">
        <v>387</v>
      </c>
      <c r="C7" t="s">
        <v>226</v>
      </c>
      <c r="D7">
        <v>404</v>
      </c>
      <c r="E7" t="s">
        <v>228</v>
      </c>
      <c r="F7" t="s">
        <v>388</v>
      </c>
      <c r="G7" t="s">
        <v>389</v>
      </c>
      <c r="H7" t="s">
        <v>369</v>
      </c>
      <c r="I7" t="s">
        <v>390</v>
      </c>
      <c r="J7" t="s">
        <v>354</v>
      </c>
      <c r="K7" t="s">
        <v>391</v>
      </c>
      <c r="L7" t="s">
        <v>392</v>
      </c>
      <c r="M7" t="s">
        <v>357</v>
      </c>
      <c r="N7" t="s">
        <v>393</v>
      </c>
    </row>
    <row r="8" spans="1:14">
      <c r="A8" t="s">
        <v>394</v>
      </c>
      <c r="B8" t="s">
        <v>366</v>
      </c>
      <c r="C8" t="s">
        <v>226</v>
      </c>
      <c r="D8">
        <v>577.83</v>
      </c>
      <c r="E8" t="s">
        <v>228</v>
      </c>
      <c r="F8" t="s">
        <v>395</v>
      </c>
      <c r="G8" t="s">
        <v>396</v>
      </c>
      <c r="H8" t="s">
        <v>369</v>
      </c>
      <c r="I8" t="s">
        <v>397</v>
      </c>
      <c r="J8" t="s">
        <v>354</v>
      </c>
      <c r="K8" t="s">
        <v>398</v>
      </c>
      <c r="L8" t="s">
        <v>399</v>
      </c>
      <c r="M8" t="s">
        <v>357</v>
      </c>
      <c r="N8" t="s">
        <v>400</v>
      </c>
    </row>
    <row r="9" spans="1:14">
      <c r="A9" t="s">
        <v>394</v>
      </c>
      <c r="B9" t="s">
        <v>366</v>
      </c>
      <c r="C9" t="s">
        <v>226</v>
      </c>
      <c r="D9">
        <v>696</v>
      </c>
      <c r="E9" t="s">
        <v>228</v>
      </c>
      <c r="F9" t="s">
        <v>395</v>
      </c>
      <c r="G9" t="s">
        <v>401</v>
      </c>
      <c r="H9" t="s">
        <v>402</v>
      </c>
      <c r="I9" t="s">
        <v>403</v>
      </c>
      <c r="J9" t="s">
        <v>354</v>
      </c>
      <c r="K9" t="s">
        <v>404</v>
      </c>
      <c r="L9" t="s">
        <v>405</v>
      </c>
      <c r="M9" t="s">
        <v>357</v>
      </c>
      <c r="N9" t="s">
        <v>406</v>
      </c>
    </row>
    <row r="10" spans="1:14">
      <c r="A10" t="s">
        <v>394</v>
      </c>
      <c r="B10" t="s">
        <v>349</v>
      </c>
      <c r="C10" t="s">
        <v>226</v>
      </c>
      <c r="D10">
        <v>825</v>
      </c>
      <c r="E10" t="s">
        <v>228</v>
      </c>
      <c r="F10" t="s">
        <v>407</v>
      </c>
      <c r="G10" t="s">
        <v>408</v>
      </c>
      <c r="H10" t="s">
        <v>369</v>
      </c>
      <c r="I10" t="s">
        <v>409</v>
      </c>
      <c r="J10" t="s">
        <v>354</v>
      </c>
      <c r="K10" t="s">
        <v>62</v>
      </c>
      <c r="L10" t="s">
        <v>410</v>
      </c>
      <c r="M10" t="s">
        <v>357</v>
      </c>
      <c r="N10" t="s">
        <v>411</v>
      </c>
    </row>
    <row r="11" spans="1:14">
      <c r="A11" t="s">
        <v>412</v>
      </c>
      <c r="B11" t="s">
        <v>366</v>
      </c>
      <c r="C11" t="s">
        <v>226</v>
      </c>
      <c r="D11">
        <v>860</v>
      </c>
      <c r="E11" t="s">
        <v>228</v>
      </c>
      <c r="F11" t="s">
        <v>413</v>
      </c>
      <c r="G11" t="s">
        <v>414</v>
      </c>
      <c r="H11" t="s">
        <v>352</v>
      </c>
      <c r="I11" t="s">
        <v>415</v>
      </c>
      <c r="J11" t="s">
        <v>354</v>
      </c>
      <c r="K11" t="s">
        <v>62</v>
      </c>
      <c r="L11" t="s">
        <v>416</v>
      </c>
      <c r="M11" t="s">
        <v>357</v>
      </c>
      <c r="N11" t="s">
        <v>417</v>
      </c>
    </row>
    <row r="12" spans="1:14">
      <c r="A12" t="s">
        <v>412</v>
      </c>
      <c r="B12" t="s">
        <v>349</v>
      </c>
      <c r="C12" t="s">
        <v>4</v>
      </c>
      <c r="D12">
        <v>366</v>
      </c>
      <c r="E12" t="s">
        <v>239</v>
      </c>
      <c r="F12" t="s">
        <v>418</v>
      </c>
      <c r="G12" t="s">
        <v>419</v>
      </c>
      <c r="H12" t="s">
        <v>369</v>
      </c>
      <c r="I12" t="s">
        <v>420</v>
      </c>
      <c r="J12" t="s">
        <v>354</v>
      </c>
      <c r="K12" t="s">
        <v>62</v>
      </c>
      <c r="L12" t="s">
        <v>421</v>
      </c>
      <c r="M12" t="s">
        <v>357</v>
      </c>
      <c r="N12" t="s">
        <v>422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收支财务报表</vt:lpstr>
      <vt:lpstr>现金流量表</vt:lpstr>
      <vt:lpstr>月度预算</vt:lpstr>
      <vt:lpstr>利润表</vt:lpstr>
      <vt:lpstr>收入</vt:lpstr>
      <vt:lpstr>成本</vt:lpstr>
      <vt:lpstr>支出</vt:lpstr>
      <vt:lpstr>固定资产记录</vt:lpstr>
      <vt:lpstr>资产负债表</vt:lpstr>
      <vt:lpstr>年同比图表</vt:lpstr>
      <vt:lpstr>总汇概览</vt:lpstr>
      <vt:lpstr>待确认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吴文凯</cp:lastModifiedBy>
  <dcterms:created xsi:type="dcterms:W3CDTF">2022-11-06T13:34:00Z</dcterms:created>
  <cp:lastPrinted>2025-01-30T03:34:00Z</cp:lastPrinted>
  <dcterms:modified xsi:type="dcterms:W3CDTF">2026-05-22T13:47:08Z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ICV">
    <vt:lpwstr>DF4FB14254274AF2BE341A850C89F621_12</vt:lpwstr>
  </property>
  <property fmtid="{D5CDD505-2E9C-101B-9397-08002B2CF9AE}" pid="4" name="KSOProductBuildVer">
    <vt:lpwstr>2052-12.1.25867.25867</vt:lpwstr>
  </property>
  <property fmtid="{D5CDD505-2E9C-101B-9397-08002B2CF9AE}" pid="5" name="CalculationRule">
    <vt:i4>0</vt:i4>
  </property>
</Properties>
</file>