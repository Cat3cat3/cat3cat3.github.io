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drawings/drawing2.xml" ContentType="application/vnd.openxmlformats-officedocument.drawing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drawings/drawing3.xml" ContentType="application/vnd.openxmlformats-officedocument.drawing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08"/>
  <workbookPr codeName="ThisWorkbook"/>
  <mc:AlternateContent xmlns:mc="http://schemas.openxmlformats.org/markup-compatibility/2006">
    <mc:Choice Requires="x15">
      <x15ac:absPath xmlns:x15ac="http://schemas.microsoft.com/office/spreadsheetml/2010/11/ac" url="/Users/kevin/Desktop/"/>
    </mc:Choice>
  </mc:AlternateContent>
  <xr:revisionPtr revIDLastSave="0" documentId="13_ncr:1_{5862AE11-3E7B-1048-987A-85CB94826879}" xr6:coauthVersionLast="47" xr6:coauthVersionMax="47" xr10:uidLastSave="{00000000-0000-0000-0000-000000000000}"/>
  <bookViews>
    <workbookView minimized="1" xWindow="0" yWindow="500" windowWidth="28800" windowHeight="16140" xr2:uid="{00000000-000D-0000-FFFF-FFFF00000000}"/>
  </bookViews>
  <sheets>
    <sheet name="收支财务报表" sheetId="7" r:id="rId1"/>
    <sheet name="现金流量表" sheetId="8" r:id="rId2"/>
    <sheet name="月度预算" sheetId="1" r:id="rId3"/>
    <sheet name="利润表" sheetId="15" r:id="rId4"/>
    <sheet name="收入" sheetId="13" r:id="rId5"/>
    <sheet name="成本" sheetId="14" r:id="rId6"/>
    <sheet name="支出" sheetId="16" r:id="rId7"/>
    <sheet name="固定资产记录" sheetId="17" r:id="rId8"/>
    <sheet name="资产负债表" sheetId="11" r:id="rId9"/>
    <sheet name="年同比图表" sheetId="12" r:id="rId10"/>
    <sheet name="总汇概览" sheetId="10" r:id="rId11"/>
  </sheets>
  <definedNames>
    <definedName name="_2月">资产负债表!$E$5:$E$11</definedName>
    <definedName name="_xlnm._FilterDatabase" localSheetId="8" hidden="1">资产负债表!$E$5:$O$12</definedName>
    <definedName name="Company_Name">收入!$B$2</definedName>
    <definedName name="FiscalYearStartDate">现金流量表!$B$4</definedName>
    <definedName name="FYMonthNo" localSheetId="5">IF(FYMonthStart="1 月",1,IF(FYMonthStart="2 月",2,IF(FYMonthStart="3 月",3,IF(FYMonthStart="4 月",4,IF(FYMonthStart="5 月",5,IF(FYMonthStart="6 月",6,IF(FYMonthStart="7 月",7,IF(FYMonthStart="8 月",8,IF(FYMonthStart="9 月",9,IF(FYMonthStart="10 月",10,IF(FYMonthStart="11 月",11,12)))))))))))</definedName>
    <definedName name="FYMonthNo" localSheetId="6">IF(FYMonthStart="1 月",1,IF(FYMonthStart="2 月",2,IF(FYMonthStart="3 月",3,IF(FYMonthStart="4 月",4,IF(FYMonthStart="5 月",5,IF(FYMonthStart="6 月",6,IF(FYMonthStart="7 月",7,IF(FYMonthStart="8 月",8,IF(FYMonthStart="9 月",9,IF(FYMonthStart="10 月",10,IF(FYMonthStart="11 月",11,12)))))))))))</definedName>
    <definedName name="FYMonthNo">IF(FYMonthStart="1 月",1,IF(FYMonthStart="2 月",2,IF(FYMonthStart="3 月",3,IF(FYMonthStart="4 月",4,IF(FYMonthStart="5 月",5,IF(FYMonthStart="6 月",6,IF(FYMonthStart="7 月",7,IF(FYMonthStart="8 月",8,IF(FYMonthStart="9 月",9,IF(FYMonthStart="10 月",10,IF(FYMonthStart="11 月",11,12)))))))))))</definedName>
    <definedName name="_xlnm.Print_Area" localSheetId="1">现金流量表!$A$1:$N$45</definedName>
    <definedName name="_xlnm.Print_Titles" localSheetId="5">成本!$6:$6</definedName>
    <definedName name="_xlnm.Print_Titles" localSheetId="7">固定资产记录!#REF!</definedName>
    <definedName name="_xlnm.Print_Titles" localSheetId="4">收入!$6:$6</definedName>
    <definedName name="_xlnm.Print_Titles" localSheetId="6">支出!$6:$6</definedName>
    <definedName name="Title1">收入[[#Headers],[收入]]</definedName>
    <definedName name="Wksht_Title">收入!$B$4</definedName>
    <definedName name="标题1">#REF!</definedName>
    <definedName name="标题2">CostofSales[[#Headers],[成本]]</definedName>
    <definedName name="标题3">tblExpenses[[#Headers],[费用]]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7" i="7" l="1" a="1"/>
  <c r="K7" i="7" s="1"/>
  <c r="L20" i="17"/>
  <c r="L19" i="17"/>
  <c r="L18" i="17"/>
  <c r="M14" i="17"/>
  <c r="M13" i="17"/>
  <c r="M12" i="17"/>
  <c r="M7" i="17"/>
  <c r="M6" i="17"/>
  <c r="M5" i="17"/>
  <c r="M4" i="17"/>
  <c r="O49" i="11"/>
  <c r="N49" i="11"/>
  <c r="M49" i="11"/>
  <c r="L49" i="11"/>
  <c r="K49" i="11"/>
  <c r="J49" i="11"/>
  <c r="I49" i="11"/>
  <c r="H49" i="11"/>
  <c r="G49" i="11"/>
  <c r="F49" i="11"/>
  <c r="E49" i="11"/>
  <c r="D49" i="11"/>
  <c r="O46" i="11"/>
  <c r="N46" i="11"/>
  <c r="M46" i="11"/>
  <c r="L46" i="11"/>
  <c r="K46" i="11"/>
  <c r="J46" i="11"/>
  <c r="I46" i="11"/>
  <c r="H46" i="11"/>
  <c r="G46" i="11"/>
  <c r="F46" i="11"/>
  <c r="E46" i="11"/>
  <c r="D46" i="11"/>
  <c r="C46" i="11"/>
  <c r="O44" i="11"/>
  <c r="N44" i="11"/>
  <c r="M44" i="11"/>
  <c r="L44" i="11"/>
  <c r="K44" i="11"/>
  <c r="J44" i="11"/>
  <c r="I44" i="11"/>
  <c r="H44" i="11"/>
  <c r="G44" i="11"/>
  <c r="F44" i="11"/>
  <c r="E44" i="11"/>
  <c r="D44" i="11"/>
  <c r="C44" i="11"/>
  <c r="O39" i="11"/>
  <c r="N39" i="11"/>
  <c r="M39" i="11"/>
  <c r="L39" i="11"/>
  <c r="K39" i="11"/>
  <c r="J39" i="11"/>
  <c r="I39" i="11"/>
  <c r="H39" i="11"/>
  <c r="G39" i="11"/>
  <c r="F39" i="11"/>
  <c r="E39" i="11"/>
  <c r="D39" i="11"/>
  <c r="C39" i="11"/>
  <c r="O35" i="11"/>
  <c r="N35" i="11"/>
  <c r="M35" i="11"/>
  <c r="L35" i="11"/>
  <c r="K35" i="11"/>
  <c r="J35" i="11"/>
  <c r="I35" i="11"/>
  <c r="H35" i="11"/>
  <c r="G35" i="11"/>
  <c r="F35" i="11"/>
  <c r="E35" i="11"/>
  <c r="D35" i="11"/>
  <c r="C35" i="11"/>
  <c r="O25" i="11"/>
  <c r="N25" i="11"/>
  <c r="M25" i="11"/>
  <c r="L25" i="11"/>
  <c r="K25" i="11"/>
  <c r="J25" i="11"/>
  <c r="I25" i="11"/>
  <c r="H25" i="11"/>
  <c r="G25" i="11"/>
  <c r="F25" i="11"/>
  <c r="E25" i="11"/>
  <c r="D25" i="11"/>
  <c r="O23" i="11"/>
  <c r="N23" i="11"/>
  <c r="M23" i="11"/>
  <c r="L23" i="11"/>
  <c r="K23" i="11"/>
  <c r="J23" i="11"/>
  <c r="I23" i="11"/>
  <c r="H23" i="11"/>
  <c r="G23" i="11"/>
  <c r="F23" i="11"/>
  <c r="E23" i="11"/>
  <c r="D23" i="11"/>
  <c r="C23" i="11"/>
  <c r="O19" i="11"/>
  <c r="N19" i="11"/>
  <c r="M19" i="11"/>
  <c r="L19" i="11"/>
  <c r="K19" i="11"/>
  <c r="J19" i="11"/>
  <c r="I19" i="11"/>
  <c r="H19" i="11"/>
  <c r="G19" i="11"/>
  <c r="F19" i="11"/>
  <c r="E19" i="11"/>
  <c r="D19" i="11"/>
  <c r="C19" i="11"/>
  <c r="O12" i="11"/>
  <c r="N12" i="11"/>
  <c r="M12" i="11"/>
  <c r="L12" i="11"/>
  <c r="K12" i="11"/>
  <c r="J12" i="11"/>
  <c r="I12" i="11"/>
  <c r="H12" i="11"/>
  <c r="G12" i="11"/>
  <c r="F12" i="11"/>
  <c r="E12" i="11"/>
  <c r="D12" i="11"/>
  <c r="P27" i="16"/>
  <c r="O27" i="16"/>
  <c r="N27" i="16"/>
  <c r="M27" i="16"/>
  <c r="L27" i="16"/>
  <c r="K27" i="16"/>
  <c r="J27" i="16"/>
  <c r="I27" i="16"/>
  <c r="H27" i="16"/>
  <c r="G27" i="16"/>
  <c r="F27" i="16"/>
  <c r="E27" i="16"/>
  <c r="D27" i="16"/>
  <c r="AD26" i="16"/>
  <c r="AC26" i="16"/>
  <c r="AB26" i="16"/>
  <c r="AA26" i="16"/>
  <c r="Z26" i="16"/>
  <c r="Y26" i="16"/>
  <c r="X26" i="16"/>
  <c r="W26" i="16"/>
  <c r="V26" i="16"/>
  <c r="U26" i="16"/>
  <c r="T26" i="16"/>
  <c r="S26" i="16"/>
  <c r="R26" i="16"/>
  <c r="Q26" i="16"/>
  <c r="P26" i="16"/>
  <c r="O26" i="16"/>
  <c r="N26" i="16"/>
  <c r="M26" i="16"/>
  <c r="L26" i="16"/>
  <c r="K26" i="16"/>
  <c r="J26" i="16"/>
  <c r="I26" i="16"/>
  <c r="H26" i="16"/>
  <c r="G26" i="16"/>
  <c r="F26" i="16"/>
  <c r="E26" i="16"/>
  <c r="D26" i="16"/>
  <c r="AD25" i="16"/>
  <c r="AC25" i="16"/>
  <c r="AB25" i="16"/>
  <c r="AA25" i="16"/>
  <c r="Z25" i="16"/>
  <c r="Y25" i="16"/>
  <c r="X25" i="16"/>
  <c r="W25" i="16"/>
  <c r="V25" i="16"/>
  <c r="U25" i="16"/>
  <c r="T25" i="16"/>
  <c r="S25" i="16"/>
  <c r="R25" i="16"/>
  <c r="P25" i="16"/>
  <c r="AD24" i="16"/>
  <c r="AC24" i="16"/>
  <c r="AB24" i="16"/>
  <c r="AA24" i="16"/>
  <c r="Z24" i="16"/>
  <c r="Y24" i="16"/>
  <c r="X24" i="16"/>
  <c r="W24" i="16"/>
  <c r="V24" i="16"/>
  <c r="U24" i="16"/>
  <c r="T24" i="16"/>
  <c r="S24" i="16"/>
  <c r="R24" i="16"/>
  <c r="P24" i="16"/>
  <c r="AD23" i="16"/>
  <c r="AC23" i="16"/>
  <c r="AB23" i="16"/>
  <c r="AA23" i="16"/>
  <c r="Z23" i="16"/>
  <c r="Y23" i="16"/>
  <c r="X23" i="16"/>
  <c r="W23" i="16"/>
  <c r="V23" i="16"/>
  <c r="U23" i="16"/>
  <c r="T23" i="16"/>
  <c r="S23" i="16"/>
  <c r="R23" i="16"/>
  <c r="P23" i="16"/>
  <c r="AD22" i="16"/>
  <c r="AC22" i="16"/>
  <c r="AB22" i="16"/>
  <c r="AA22" i="16"/>
  <c r="Z22" i="16"/>
  <c r="Y22" i="16"/>
  <c r="X22" i="16"/>
  <c r="W22" i="16"/>
  <c r="V22" i="16"/>
  <c r="U22" i="16"/>
  <c r="T22" i="16"/>
  <c r="S22" i="16"/>
  <c r="R22" i="16"/>
  <c r="P22" i="16"/>
  <c r="AD21" i="16"/>
  <c r="AC21" i="16"/>
  <c r="AB21" i="16"/>
  <c r="AA21" i="16"/>
  <c r="Z21" i="16"/>
  <c r="Y21" i="16"/>
  <c r="X21" i="16"/>
  <c r="W21" i="16"/>
  <c r="V21" i="16"/>
  <c r="U21" i="16"/>
  <c r="T21" i="16"/>
  <c r="S21" i="16"/>
  <c r="R21" i="16"/>
  <c r="P21" i="16"/>
  <c r="AD20" i="16"/>
  <c r="AC20" i="16"/>
  <c r="AB20" i="16"/>
  <c r="AA20" i="16"/>
  <c r="Z20" i="16"/>
  <c r="Y20" i="16"/>
  <c r="X20" i="16"/>
  <c r="W20" i="16"/>
  <c r="V20" i="16"/>
  <c r="U20" i="16"/>
  <c r="T20" i="16"/>
  <c r="S20" i="16"/>
  <c r="R20" i="16"/>
  <c r="P20" i="16"/>
  <c r="AD19" i="16"/>
  <c r="AC19" i="16"/>
  <c r="AB19" i="16"/>
  <c r="AA19" i="16"/>
  <c r="Z19" i="16"/>
  <c r="Y19" i="16"/>
  <c r="X19" i="16"/>
  <c r="W19" i="16"/>
  <c r="V19" i="16"/>
  <c r="U19" i="16"/>
  <c r="T19" i="16"/>
  <c r="S19" i="16"/>
  <c r="R19" i="16"/>
  <c r="P19" i="16"/>
  <c r="AD18" i="16"/>
  <c r="AC18" i="16"/>
  <c r="AB18" i="16"/>
  <c r="AA18" i="16"/>
  <c r="Z18" i="16"/>
  <c r="Y18" i="16"/>
  <c r="X18" i="16"/>
  <c r="W18" i="16"/>
  <c r="V18" i="16"/>
  <c r="U18" i="16"/>
  <c r="T18" i="16"/>
  <c r="S18" i="16"/>
  <c r="R18" i="16"/>
  <c r="P18" i="16"/>
  <c r="AD17" i="16"/>
  <c r="AC17" i="16"/>
  <c r="AB17" i="16"/>
  <c r="AA17" i="16"/>
  <c r="Z17" i="16"/>
  <c r="Y17" i="16"/>
  <c r="X17" i="16"/>
  <c r="W17" i="16"/>
  <c r="V17" i="16"/>
  <c r="U17" i="16"/>
  <c r="T17" i="16"/>
  <c r="S17" i="16"/>
  <c r="R17" i="16"/>
  <c r="P17" i="16"/>
  <c r="AD16" i="16"/>
  <c r="AC16" i="16"/>
  <c r="AB16" i="16"/>
  <c r="AA16" i="16"/>
  <c r="Z16" i="16"/>
  <c r="Y16" i="16"/>
  <c r="X16" i="16"/>
  <c r="W16" i="16"/>
  <c r="V16" i="16"/>
  <c r="U16" i="16"/>
  <c r="T16" i="16"/>
  <c r="S16" i="16"/>
  <c r="R16" i="16"/>
  <c r="P16" i="16"/>
  <c r="AD15" i="16"/>
  <c r="AC15" i="16"/>
  <c r="AB15" i="16"/>
  <c r="AA15" i="16"/>
  <c r="Z15" i="16"/>
  <c r="Y15" i="16"/>
  <c r="X15" i="16"/>
  <c r="W15" i="16"/>
  <c r="V15" i="16"/>
  <c r="U15" i="16"/>
  <c r="T15" i="16"/>
  <c r="S15" i="16"/>
  <c r="R15" i="16"/>
  <c r="P15" i="16"/>
  <c r="AD14" i="16"/>
  <c r="AC14" i="16"/>
  <c r="AB14" i="16"/>
  <c r="AA14" i="16"/>
  <c r="Z14" i="16"/>
  <c r="Y14" i="16"/>
  <c r="X14" i="16"/>
  <c r="W14" i="16"/>
  <c r="V14" i="16"/>
  <c r="U14" i="16"/>
  <c r="T14" i="16"/>
  <c r="S14" i="16"/>
  <c r="R14" i="16"/>
  <c r="P14" i="16"/>
  <c r="AD13" i="16"/>
  <c r="AC13" i="16"/>
  <c r="AB13" i="16"/>
  <c r="AA13" i="16"/>
  <c r="Z13" i="16"/>
  <c r="Y13" i="16"/>
  <c r="X13" i="16"/>
  <c r="W13" i="16"/>
  <c r="V13" i="16"/>
  <c r="U13" i="16"/>
  <c r="T13" i="16"/>
  <c r="S13" i="16"/>
  <c r="R13" i="16"/>
  <c r="P13" i="16"/>
  <c r="AD12" i="16"/>
  <c r="AC12" i="16"/>
  <c r="AB12" i="16"/>
  <c r="AA12" i="16"/>
  <c r="Z12" i="16"/>
  <c r="Y12" i="16"/>
  <c r="X12" i="16"/>
  <c r="W12" i="16"/>
  <c r="V12" i="16"/>
  <c r="U12" i="16"/>
  <c r="T12" i="16"/>
  <c r="S12" i="16"/>
  <c r="R12" i="16"/>
  <c r="P12" i="16"/>
  <c r="AD11" i="16"/>
  <c r="AC11" i="16"/>
  <c r="AB11" i="16"/>
  <c r="AA11" i="16"/>
  <c r="Z11" i="16"/>
  <c r="Y11" i="16"/>
  <c r="X11" i="16"/>
  <c r="W11" i="16"/>
  <c r="V11" i="16"/>
  <c r="U11" i="16"/>
  <c r="T11" i="16"/>
  <c r="S11" i="16"/>
  <c r="R11" i="16"/>
  <c r="P11" i="16"/>
  <c r="AD10" i="16"/>
  <c r="AC10" i="16"/>
  <c r="AB10" i="16"/>
  <c r="AA10" i="16"/>
  <c r="Z10" i="16"/>
  <c r="Y10" i="16"/>
  <c r="X10" i="16"/>
  <c r="W10" i="16"/>
  <c r="V10" i="16"/>
  <c r="U10" i="16"/>
  <c r="T10" i="16"/>
  <c r="S10" i="16"/>
  <c r="R10" i="16"/>
  <c r="P10" i="16"/>
  <c r="AD9" i="16"/>
  <c r="AC9" i="16"/>
  <c r="AB9" i="16"/>
  <c r="AA9" i="16"/>
  <c r="Z9" i="16"/>
  <c r="Y9" i="16"/>
  <c r="X9" i="16"/>
  <c r="W9" i="16"/>
  <c r="V9" i="16"/>
  <c r="U9" i="16"/>
  <c r="T9" i="16"/>
  <c r="S9" i="16"/>
  <c r="R9" i="16"/>
  <c r="P9" i="16"/>
  <c r="AD8" i="16"/>
  <c r="AC8" i="16"/>
  <c r="AB8" i="16"/>
  <c r="AA8" i="16"/>
  <c r="Z8" i="16"/>
  <c r="Y8" i="16"/>
  <c r="X8" i="16"/>
  <c r="W8" i="16"/>
  <c r="V8" i="16"/>
  <c r="U8" i="16"/>
  <c r="T8" i="16"/>
  <c r="S8" i="16"/>
  <c r="R8" i="16"/>
  <c r="P8" i="16"/>
  <c r="AD7" i="16"/>
  <c r="AC7" i="16"/>
  <c r="AB7" i="16"/>
  <c r="AA7" i="16"/>
  <c r="Z7" i="16"/>
  <c r="Y7" i="16"/>
  <c r="X7" i="16"/>
  <c r="W7" i="16"/>
  <c r="V7" i="16"/>
  <c r="U7" i="16"/>
  <c r="T7" i="16"/>
  <c r="S7" i="16"/>
  <c r="R7" i="16"/>
  <c r="P7" i="16"/>
  <c r="B4" i="16"/>
  <c r="B2" i="16"/>
  <c r="P15" i="14"/>
  <c r="O15" i="14"/>
  <c r="N15" i="14"/>
  <c r="M15" i="14"/>
  <c r="L15" i="14"/>
  <c r="K15" i="14"/>
  <c r="J15" i="14"/>
  <c r="I15" i="14"/>
  <c r="H15" i="14"/>
  <c r="G15" i="14"/>
  <c r="F15" i="14"/>
  <c r="E15" i="14"/>
  <c r="D15" i="14"/>
  <c r="AD14" i="14"/>
  <c r="AC14" i="14"/>
  <c r="AB14" i="14"/>
  <c r="AA14" i="14"/>
  <c r="Z14" i="14"/>
  <c r="Y14" i="14"/>
  <c r="X14" i="14"/>
  <c r="W14" i="14"/>
  <c r="V14" i="14"/>
  <c r="U14" i="14"/>
  <c r="T14" i="14"/>
  <c r="S14" i="14"/>
  <c r="R14" i="14"/>
  <c r="Q14" i="14"/>
  <c r="P14" i="14"/>
  <c r="O14" i="14"/>
  <c r="N14" i="14"/>
  <c r="M14" i="14"/>
  <c r="L14" i="14"/>
  <c r="K14" i="14"/>
  <c r="J14" i="14"/>
  <c r="I14" i="14"/>
  <c r="H14" i="14"/>
  <c r="G14" i="14"/>
  <c r="F14" i="14"/>
  <c r="E14" i="14"/>
  <c r="D14" i="14"/>
  <c r="AD13" i="14"/>
  <c r="AC13" i="14"/>
  <c r="AB13" i="14"/>
  <c r="AA13" i="14"/>
  <c r="Z13" i="14"/>
  <c r="Y13" i="14"/>
  <c r="X13" i="14"/>
  <c r="W13" i="14"/>
  <c r="V13" i="14"/>
  <c r="U13" i="14"/>
  <c r="T13" i="14"/>
  <c r="S13" i="14"/>
  <c r="R13" i="14"/>
  <c r="P13" i="14"/>
  <c r="AD12" i="14"/>
  <c r="AC12" i="14"/>
  <c r="AB12" i="14"/>
  <c r="AA12" i="14"/>
  <c r="Z12" i="14"/>
  <c r="Y12" i="14"/>
  <c r="X12" i="14"/>
  <c r="W12" i="14"/>
  <c r="V12" i="14"/>
  <c r="U12" i="14"/>
  <c r="T12" i="14"/>
  <c r="S12" i="14"/>
  <c r="R12" i="14"/>
  <c r="P12" i="14"/>
  <c r="AD11" i="14"/>
  <c r="AC11" i="14"/>
  <c r="AB11" i="14"/>
  <c r="AA11" i="14"/>
  <c r="Z11" i="14"/>
  <c r="Y11" i="14"/>
  <c r="X11" i="14"/>
  <c r="W11" i="14"/>
  <c r="V11" i="14"/>
  <c r="U11" i="14"/>
  <c r="T11" i="14"/>
  <c r="S11" i="14"/>
  <c r="R11" i="14"/>
  <c r="P11" i="14"/>
  <c r="AD10" i="14"/>
  <c r="AC10" i="14"/>
  <c r="AB10" i="14"/>
  <c r="AA10" i="14"/>
  <c r="Z10" i="14"/>
  <c r="Y10" i="14"/>
  <c r="X10" i="14"/>
  <c r="W10" i="14"/>
  <c r="V10" i="14"/>
  <c r="U10" i="14"/>
  <c r="T10" i="14"/>
  <c r="S10" i="14"/>
  <c r="R10" i="14"/>
  <c r="P10" i="14"/>
  <c r="AD9" i="14"/>
  <c r="AC9" i="14"/>
  <c r="AB9" i="14"/>
  <c r="AA9" i="14"/>
  <c r="Z9" i="14"/>
  <c r="Y9" i="14"/>
  <c r="X9" i="14"/>
  <c r="W9" i="14"/>
  <c r="V9" i="14"/>
  <c r="U9" i="14"/>
  <c r="T9" i="14"/>
  <c r="S9" i="14"/>
  <c r="R9" i="14"/>
  <c r="P9" i="14"/>
  <c r="AD8" i="14"/>
  <c r="AC8" i="14"/>
  <c r="AB8" i="14"/>
  <c r="AA8" i="14"/>
  <c r="Z8" i="14"/>
  <c r="Y8" i="14"/>
  <c r="X8" i="14"/>
  <c r="W8" i="14"/>
  <c r="V8" i="14"/>
  <c r="U8" i="14"/>
  <c r="T8" i="14"/>
  <c r="S8" i="14"/>
  <c r="R8" i="14"/>
  <c r="P8" i="14"/>
  <c r="AD7" i="14"/>
  <c r="AC7" i="14"/>
  <c r="AB7" i="14"/>
  <c r="AA7" i="14"/>
  <c r="Z7" i="14"/>
  <c r="Y7" i="14"/>
  <c r="X7" i="14"/>
  <c r="W7" i="14"/>
  <c r="V7" i="14"/>
  <c r="U7" i="14"/>
  <c r="T7" i="14"/>
  <c r="S7" i="14"/>
  <c r="R7" i="14"/>
  <c r="P7" i="14"/>
  <c r="B4" i="14"/>
  <c r="B2" i="14"/>
  <c r="AD14" i="13"/>
  <c r="AC14" i="13"/>
  <c r="AB14" i="13"/>
  <c r="AA14" i="13"/>
  <c r="Z14" i="13"/>
  <c r="Y14" i="13"/>
  <c r="X14" i="13"/>
  <c r="W14" i="13"/>
  <c r="V14" i="13"/>
  <c r="U14" i="13"/>
  <c r="T14" i="13"/>
  <c r="S14" i="13"/>
  <c r="R14" i="13"/>
  <c r="Q14" i="13"/>
  <c r="P14" i="13"/>
  <c r="O14" i="13"/>
  <c r="N14" i="13"/>
  <c r="M14" i="13"/>
  <c r="L14" i="13"/>
  <c r="K14" i="13"/>
  <c r="J14" i="13"/>
  <c r="I14" i="13"/>
  <c r="H14" i="13"/>
  <c r="G14" i="13"/>
  <c r="F14" i="13"/>
  <c r="E14" i="13"/>
  <c r="D14" i="13"/>
  <c r="AD13" i="13"/>
  <c r="AC13" i="13"/>
  <c r="AB13" i="13"/>
  <c r="AA13" i="13"/>
  <c r="Z13" i="13"/>
  <c r="Y13" i="13"/>
  <c r="X13" i="13"/>
  <c r="W13" i="13"/>
  <c r="V13" i="13"/>
  <c r="U13" i="13"/>
  <c r="T13" i="13"/>
  <c r="S13" i="13"/>
  <c r="R13" i="13"/>
  <c r="P13" i="13"/>
  <c r="AD12" i="13"/>
  <c r="AC12" i="13"/>
  <c r="AB12" i="13"/>
  <c r="AA12" i="13"/>
  <c r="Z12" i="13"/>
  <c r="Y12" i="13"/>
  <c r="X12" i="13"/>
  <c r="W12" i="13"/>
  <c r="V12" i="13"/>
  <c r="U12" i="13"/>
  <c r="T12" i="13"/>
  <c r="S12" i="13"/>
  <c r="R12" i="13"/>
  <c r="P12" i="13"/>
  <c r="AD11" i="13"/>
  <c r="AC11" i="13"/>
  <c r="AB11" i="13"/>
  <c r="AA11" i="13"/>
  <c r="Z11" i="13"/>
  <c r="Y11" i="13"/>
  <c r="X11" i="13"/>
  <c r="W11" i="13"/>
  <c r="V11" i="13"/>
  <c r="U11" i="13"/>
  <c r="T11" i="13"/>
  <c r="S11" i="13"/>
  <c r="R11" i="13"/>
  <c r="P11" i="13"/>
  <c r="AD10" i="13"/>
  <c r="AC10" i="13"/>
  <c r="AB10" i="13"/>
  <c r="AA10" i="13"/>
  <c r="Z10" i="13"/>
  <c r="Y10" i="13"/>
  <c r="X10" i="13"/>
  <c r="W10" i="13"/>
  <c r="V10" i="13"/>
  <c r="U10" i="13"/>
  <c r="T10" i="13"/>
  <c r="S10" i="13"/>
  <c r="R10" i="13"/>
  <c r="P10" i="13"/>
  <c r="AD9" i="13"/>
  <c r="AC9" i="13"/>
  <c r="AB9" i="13"/>
  <c r="AA9" i="13"/>
  <c r="Z9" i="13"/>
  <c r="Y9" i="13"/>
  <c r="X9" i="13"/>
  <c r="W9" i="13"/>
  <c r="V9" i="13"/>
  <c r="U9" i="13"/>
  <c r="T9" i="13"/>
  <c r="S9" i="13"/>
  <c r="R9" i="13"/>
  <c r="P9" i="13"/>
  <c r="AD8" i="13"/>
  <c r="AC8" i="13"/>
  <c r="AB8" i="13"/>
  <c r="AA8" i="13"/>
  <c r="Z8" i="13"/>
  <c r="Y8" i="13"/>
  <c r="X8" i="13"/>
  <c r="W8" i="13"/>
  <c r="V8" i="13"/>
  <c r="U8" i="13"/>
  <c r="T8" i="13"/>
  <c r="S8" i="13"/>
  <c r="R8" i="13"/>
  <c r="P8" i="13"/>
  <c r="AD7" i="13"/>
  <c r="AC7" i="13"/>
  <c r="AB7" i="13"/>
  <c r="AA7" i="13"/>
  <c r="Z7" i="13"/>
  <c r="Y7" i="13"/>
  <c r="X7" i="13"/>
  <c r="W7" i="13"/>
  <c r="V7" i="13"/>
  <c r="U7" i="13"/>
  <c r="T7" i="13"/>
  <c r="S7" i="13"/>
  <c r="R7" i="13"/>
  <c r="P7" i="13"/>
  <c r="G48" i="15"/>
  <c r="G46" i="15"/>
  <c r="G40" i="15"/>
  <c r="G38" i="15"/>
  <c r="G22" i="15"/>
  <c r="G20" i="15"/>
  <c r="G17" i="15"/>
  <c r="G9" i="15"/>
  <c r="J77" i="1"/>
  <c r="J75" i="1"/>
  <c r="J73" i="1"/>
  <c r="E72" i="1"/>
  <c r="E71" i="1"/>
  <c r="E70" i="1"/>
  <c r="J69" i="1"/>
  <c r="E69" i="1"/>
  <c r="J68" i="1"/>
  <c r="E68" i="1"/>
  <c r="J67" i="1"/>
  <c r="E67" i="1"/>
  <c r="J66" i="1"/>
  <c r="E66" i="1"/>
  <c r="J65" i="1"/>
  <c r="E65" i="1"/>
  <c r="E61" i="1"/>
  <c r="E60" i="1"/>
  <c r="J59" i="1"/>
  <c r="E59" i="1"/>
  <c r="J58" i="1"/>
  <c r="E58" i="1"/>
  <c r="J57" i="1"/>
  <c r="E57" i="1"/>
  <c r="J56" i="1"/>
  <c r="E56" i="1"/>
  <c r="J52" i="1"/>
  <c r="E52" i="1"/>
  <c r="J51" i="1"/>
  <c r="E51" i="1"/>
  <c r="J50" i="1"/>
  <c r="E50" i="1"/>
  <c r="J49" i="1"/>
  <c r="E49" i="1"/>
  <c r="J45" i="1"/>
  <c r="E45" i="1"/>
  <c r="J44" i="1"/>
  <c r="E44" i="1"/>
  <c r="J43" i="1"/>
  <c r="E43" i="1"/>
  <c r="J42" i="1"/>
  <c r="E42" i="1"/>
  <c r="J41" i="1"/>
  <c r="E41" i="1"/>
  <c r="E37" i="1"/>
  <c r="J36" i="1"/>
  <c r="E36" i="1"/>
  <c r="J35" i="1"/>
  <c r="E35" i="1"/>
  <c r="J34" i="1"/>
  <c r="E34" i="1"/>
  <c r="J33" i="1"/>
  <c r="E33" i="1"/>
  <c r="J32" i="1"/>
  <c r="E32" i="1"/>
  <c r="J31" i="1"/>
  <c r="E31" i="1"/>
  <c r="J30" i="1"/>
  <c r="E30" i="1"/>
  <c r="E26" i="1"/>
  <c r="J25" i="1"/>
  <c r="E25" i="1"/>
  <c r="J24" i="1"/>
  <c r="E24" i="1"/>
  <c r="J23" i="1"/>
  <c r="E23" i="1"/>
  <c r="J22" i="1"/>
  <c r="E22" i="1"/>
  <c r="J21" i="1"/>
  <c r="E21" i="1"/>
  <c r="J20" i="1"/>
  <c r="E20" i="1"/>
  <c r="J19" i="1"/>
  <c r="E19" i="1"/>
  <c r="J18" i="1"/>
  <c r="E18" i="1"/>
  <c r="J17" i="1"/>
  <c r="E17" i="1"/>
  <c r="J16" i="1"/>
  <c r="E16" i="1"/>
  <c r="C12" i="1"/>
  <c r="H8" i="1"/>
  <c r="C7" i="1"/>
  <c r="H6" i="1"/>
  <c r="P65" i="8"/>
  <c r="O65" i="8"/>
  <c r="N65" i="8"/>
  <c r="M65" i="8"/>
  <c r="L65" i="8"/>
  <c r="K65" i="8"/>
  <c r="J65" i="8"/>
  <c r="I65" i="8"/>
  <c r="H65" i="8"/>
  <c r="G65" i="8"/>
  <c r="F65" i="8"/>
  <c r="E65" i="8"/>
  <c r="D65" i="8"/>
  <c r="R64" i="8"/>
  <c r="P64" i="8"/>
  <c r="O64" i="8"/>
  <c r="N64" i="8"/>
  <c r="M64" i="8"/>
  <c r="L64" i="8"/>
  <c r="K64" i="8"/>
  <c r="J64" i="8"/>
  <c r="I64" i="8"/>
  <c r="H64" i="8"/>
  <c r="G64" i="8"/>
  <c r="F64" i="8"/>
  <c r="E64" i="8"/>
  <c r="D64" i="8"/>
  <c r="R63" i="8"/>
  <c r="R62" i="8"/>
  <c r="R61" i="8"/>
  <c r="R60" i="8"/>
  <c r="R59" i="8"/>
  <c r="P56" i="8"/>
  <c r="O56" i="8"/>
  <c r="N56" i="8"/>
  <c r="M56" i="8"/>
  <c r="L56" i="8"/>
  <c r="K56" i="8"/>
  <c r="J56" i="8"/>
  <c r="I56" i="8"/>
  <c r="H56" i="8"/>
  <c r="G56" i="8"/>
  <c r="F56" i="8"/>
  <c r="E56" i="8"/>
  <c r="D56" i="8"/>
  <c r="R55" i="8"/>
  <c r="R54" i="8"/>
  <c r="R53" i="8"/>
  <c r="R52" i="8"/>
  <c r="R51" i="8"/>
  <c r="P48" i="8"/>
  <c r="O48" i="8"/>
  <c r="N48" i="8"/>
  <c r="M48" i="8"/>
  <c r="L48" i="8"/>
  <c r="K48" i="8"/>
  <c r="J48" i="8"/>
  <c r="I48" i="8"/>
  <c r="H48" i="8"/>
  <c r="G48" i="8"/>
  <c r="F48" i="8"/>
  <c r="E48" i="8"/>
  <c r="D48" i="8"/>
  <c r="R47" i="8"/>
  <c r="R46" i="8"/>
  <c r="R45" i="8"/>
  <c r="R44" i="8"/>
  <c r="R43" i="8"/>
  <c r="R42" i="8"/>
  <c r="R41" i="8"/>
  <c r="R40" i="8"/>
  <c r="R39" i="8"/>
  <c r="R38" i="8"/>
  <c r="R37" i="8"/>
  <c r="R36" i="8"/>
  <c r="R35" i="8"/>
  <c r="R34" i="8"/>
  <c r="R33" i="8"/>
  <c r="R32" i="8"/>
  <c r="R31" i="8"/>
  <c r="R30" i="8"/>
  <c r="R29" i="8"/>
  <c r="R28" i="8"/>
  <c r="R27" i="8"/>
  <c r="P24" i="8"/>
  <c r="O24" i="8"/>
  <c r="N24" i="8"/>
  <c r="M24" i="8"/>
  <c r="L24" i="8"/>
  <c r="K24" i="8"/>
  <c r="J24" i="8"/>
  <c r="I24" i="8"/>
  <c r="H24" i="8"/>
  <c r="G24" i="8"/>
  <c r="F24" i="8"/>
  <c r="E24" i="8"/>
  <c r="D24" i="8"/>
  <c r="R23" i="8"/>
  <c r="R22" i="8"/>
  <c r="R21" i="8"/>
  <c r="R20" i="8"/>
  <c r="R19" i="8"/>
  <c r="D16" i="8"/>
  <c r="D67" i="8" s="1"/>
  <c r="E6" i="8" s="1"/>
  <c r="E16" i="8" s="1"/>
  <c r="P15" i="8"/>
  <c r="O15" i="8"/>
  <c r="N15" i="8"/>
  <c r="M15" i="8"/>
  <c r="L15" i="8"/>
  <c r="K15" i="8"/>
  <c r="J15" i="8"/>
  <c r="I15" i="8"/>
  <c r="H15" i="8"/>
  <c r="G15" i="8"/>
  <c r="F15" i="8"/>
  <c r="E15" i="8"/>
  <c r="R14" i="8"/>
  <c r="R13" i="8"/>
  <c r="R12" i="8"/>
  <c r="R11" i="8"/>
  <c r="R10" i="8"/>
  <c r="R9" i="8"/>
  <c r="P4" i="8"/>
  <c r="O4" i="8"/>
  <c r="N4" i="8"/>
  <c r="M4" i="8"/>
  <c r="L4" i="8"/>
  <c r="K4" i="8"/>
  <c r="J4" i="8"/>
  <c r="I4" i="8"/>
  <c r="H4" i="8"/>
  <c r="G4" i="8"/>
  <c r="F4" i="8"/>
  <c r="E4" i="8"/>
  <c r="P3" i="8"/>
  <c r="O3" i="8"/>
  <c r="N3" i="8"/>
  <c r="M3" i="8"/>
  <c r="L3" i="8"/>
  <c r="K3" i="8"/>
  <c r="J3" i="8"/>
  <c r="I3" i="8"/>
  <c r="H3" i="8"/>
  <c r="G3" i="8"/>
  <c r="F3" i="8"/>
  <c r="E3" i="8"/>
  <c r="K16" i="7"/>
  <c r="K20" i="7" s="1"/>
  <c r="K9" i="7"/>
  <c r="K3" i="7"/>
  <c r="K18" i="7" l="1" a="1"/>
  <c r="K18" i="7" s="1"/>
  <c r="K22" i="7" s="1"/>
  <c r="R15" i="8"/>
  <c r="R56" i="8"/>
  <c r="E67" i="8"/>
  <c r="F6" i="8" s="1"/>
  <c r="F16" i="8" s="1"/>
  <c r="F67" i="8" s="1"/>
  <c r="G6" i="8" s="1"/>
  <c r="G16" i="8" s="1"/>
  <c r="G67" i="8" s="1"/>
  <c r="H6" i="8" s="1"/>
  <c r="H16" i="8" s="1"/>
  <c r="H67" i="8" s="1"/>
  <c r="I6" i="8" s="1"/>
  <c r="I16" i="8" s="1"/>
  <c r="I67" i="8" s="1"/>
  <c r="J6" i="8" s="1"/>
  <c r="J16" i="8" s="1"/>
  <c r="J67" i="8" s="1"/>
  <c r="K6" i="8" s="1"/>
  <c r="K16" i="8" s="1"/>
  <c r="K67" i="8" s="1"/>
  <c r="L6" i="8" s="1"/>
  <c r="L16" i="8" s="1"/>
  <c r="L67" i="8" s="1"/>
  <c r="M6" i="8" s="1"/>
  <c r="M16" i="8" s="1"/>
  <c r="M67" i="8" s="1"/>
  <c r="N6" i="8" s="1"/>
  <c r="N16" i="8" s="1"/>
  <c r="N67" i="8" s="1"/>
  <c r="O6" i="8" s="1"/>
  <c r="O16" i="8" s="1"/>
  <c r="O67" i="8" s="1"/>
  <c r="P6" i="8" s="1"/>
  <c r="P16" i="8" s="1"/>
  <c r="P67" i="8" s="1"/>
  <c r="R24" i="8"/>
  <c r="R65" i="8"/>
  <c r="R48" i="8"/>
  <c r="C6" i="11"/>
  <c r="C12" i="11" s="1"/>
  <c r="C25" i="11" s="1"/>
  <c r="C49" i="11" s="1"/>
  <c r="K11" i="7"/>
  <c r="R6" i="8" l="1"/>
  <c r="R16" i="8" s="1"/>
  <c r="R67" i="8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D27" authorId="0" shapeId="0" xr:uid="{00000000-0006-0000-0100-000001000000}">
      <text>
        <r>
          <rPr>
            <b/>
            <sz val="9"/>
            <color rgb="FF000000"/>
            <rFont val="宋体"/>
            <family val="3"/>
            <charset val="134"/>
          </rPr>
          <t>作者</t>
        </r>
        <r>
          <rPr>
            <b/>
            <sz val="9"/>
            <color rgb="FF000000"/>
            <rFont val="宋体"/>
            <family val="3"/>
            <charset val="134"/>
          </rPr>
          <t>:</t>
        </r>
        <r>
          <rPr>
            <sz val="9"/>
            <color rgb="FF000000"/>
            <rFont val="宋体"/>
            <family val="3"/>
            <charset val="134"/>
          </rPr>
          <t xml:space="preserve">
</t>
        </r>
        <r>
          <rPr>
            <sz val="9"/>
            <color rgb="FF000000"/>
            <rFont val="宋体"/>
            <family val="3"/>
            <charset val="134"/>
          </rPr>
          <t>打车退款</t>
        </r>
        <r>
          <rPr>
            <sz val="9"/>
            <color rgb="FF000000"/>
            <rFont val="宋体"/>
            <family val="3"/>
            <charset val="134"/>
          </rPr>
          <t xml:space="preserve">62.54
</t>
        </r>
        <r>
          <rPr>
            <sz val="9"/>
            <color rgb="FF000000"/>
            <rFont val="宋体"/>
            <family val="3"/>
            <charset val="134"/>
          </rPr>
          <t>出差北京</t>
        </r>
      </text>
    </comment>
    <comment ref="D31" authorId="0" shapeId="0" xr:uid="{00000000-0006-0000-0100-000002000000}">
      <text>
        <r>
          <rPr>
            <b/>
            <sz val="9"/>
            <color rgb="FF000000"/>
            <rFont val="宋体"/>
            <family val="3"/>
            <charset val="134"/>
          </rPr>
          <t>作者</t>
        </r>
        <r>
          <rPr>
            <b/>
            <sz val="9"/>
            <color rgb="FF000000"/>
            <rFont val="宋体"/>
            <family val="3"/>
            <charset val="134"/>
          </rPr>
          <t>:</t>
        </r>
        <r>
          <rPr>
            <sz val="9"/>
            <color rgb="FF000000"/>
            <rFont val="宋体"/>
            <family val="3"/>
            <charset val="134"/>
          </rPr>
          <t xml:space="preserve">
</t>
        </r>
        <r>
          <rPr>
            <sz val="9"/>
            <color rgb="FF000000"/>
            <rFont val="宋体"/>
            <family val="3"/>
            <charset val="134"/>
          </rPr>
          <t>捡手机感谢费退款</t>
        </r>
        <r>
          <rPr>
            <sz val="9"/>
            <color rgb="FF000000"/>
            <rFont val="宋体"/>
            <family val="3"/>
            <charset val="134"/>
          </rPr>
          <t>200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<sst xmlns="http://schemas.openxmlformats.org/spreadsheetml/2006/main" count="649" uniqueCount="347">
  <si>
    <t>序号</t>
  </si>
  <si>
    <t>日期</t>
  </si>
  <si>
    <t>收入</t>
  </si>
  <si>
    <t>支出</t>
  </si>
  <si>
    <t>备注</t>
  </si>
  <si>
    <t>摘要</t>
  </si>
  <si>
    <t>金额</t>
  </si>
  <si>
    <t>收入金额</t>
  </si>
  <si>
    <t>支出金额</t>
  </si>
  <si>
    <t>结余金额</t>
  </si>
  <si>
    <t>按起止日期查询&gt;&gt;</t>
  </si>
  <si>
    <t>开始日期</t>
  </si>
  <si>
    <t>结束日期</t>
  </si>
  <si>
    <r>
      <rPr>
        <b/>
        <sz val="28"/>
        <color theme="4"/>
        <rFont val="Microsoft YaHei UI"/>
        <family val="2"/>
        <charset val="134"/>
      </rPr>
      <t>现金流量</t>
    </r>
    <r>
      <rPr>
        <b/>
        <sz val="28"/>
        <color theme="1" tint="0.14996795556505021"/>
        <rFont val="Microsoft YaHei UI"/>
        <family val="2"/>
        <charset val="134"/>
      </rPr>
      <t>表</t>
    </r>
  </si>
  <si>
    <t>会计年度起始于:</t>
  </si>
  <si>
    <t>（预）启动</t>
  </si>
  <si>
    <t>总计</t>
  </si>
  <si>
    <t>EST</t>
  </si>
  <si>
    <t>项目 EST</t>
  </si>
  <si>
    <t>库存现金 (月初)</t>
  </si>
  <si>
    <t>银行卡收入</t>
  </si>
  <si>
    <t>薪酬</t>
  </si>
  <si>
    <t>报销</t>
  </si>
  <si>
    <t>资金周转</t>
  </si>
  <si>
    <t>退款</t>
  </si>
  <si>
    <t>投资收益</t>
  </si>
  <si>
    <t>总可用现金（现金支出前）</t>
  </si>
  <si>
    <t>投资</t>
  </si>
  <si>
    <t>购买基金</t>
  </si>
  <si>
    <t>即时高风险投资</t>
  </si>
  <si>
    <t>其他启动费用</t>
  </si>
  <si>
    <t>保留或由第三人保存</t>
  </si>
  <si>
    <t>所有者提款</t>
  </si>
  <si>
    <t>弹性支出</t>
  </si>
  <si>
    <t>汽车，运输及差旅费用</t>
  </si>
  <si>
    <t>信用卡</t>
  </si>
  <si>
    <t>餐饮</t>
  </si>
  <si>
    <t>红包</t>
  </si>
  <si>
    <t>购物</t>
  </si>
  <si>
    <t>服饰美容</t>
  </si>
  <si>
    <t>文体教育</t>
  </si>
  <si>
    <t>休闲娱乐</t>
  </si>
  <si>
    <t xml:space="preserve"> </t>
  </si>
  <si>
    <t>生活用品</t>
  </si>
  <si>
    <t>宠物</t>
  </si>
  <si>
    <t>充电宝</t>
  </si>
  <si>
    <t>护肤化妆品</t>
  </si>
  <si>
    <t>电话费</t>
  </si>
  <si>
    <t>水电费和采暖费</t>
  </si>
  <si>
    <t>保险费</t>
  </si>
  <si>
    <t>利息</t>
  </si>
  <si>
    <t>杂项</t>
  </si>
  <si>
    <t>固定支出</t>
  </si>
  <si>
    <t>车险</t>
  </si>
  <si>
    <t>现金支付（无损益）</t>
  </si>
  <si>
    <t>贷款本金支付</t>
  </si>
  <si>
    <t>资本购买（请指定）</t>
  </si>
  <si>
    <t>总现金支付</t>
  </si>
  <si>
    <t>现金头寸 (月末)</t>
  </si>
  <si>
    <t>预计月收入</t>
  </si>
  <si>
    <r>
      <rPr>
        <b/>
        <sz val="14"/>
        <color theme="1"/>
        <rFont val="Microsoft YaHei UI"/>
        <family val="2"/>
        <charset val="134"/>
      </rPr>
      <t xml:space="preserve">预计结余
</t>
    </r>
    <r>
      <rPr>
        <sz val="14"/>
        <color theme="1"/>
        <rFont val="Microsoft YaHei UI"/>
        <family val="2"/>
        <charset val="134"/>
      </rPr>
      <t>（预计收入减预计支出）</t>
    </r>
  </si>
  <si>
    <t>fgtr6</t>
  </si>
  <si>
    <t>收入 1</t>
  </si>
  <si>
    <t>额外收入</t>
  </si>
  <si>
    <r>
      <rPr>
        <b/>
        <sz val="14"/>
        <color theme="1" tint="0.24994659260841701"/>
        <rFont val="Microsoft YaHei UI"/>
        <family val="2"/>
        <charset val="134"/>
      </rPr>
      <t xml:space="preserve">实际余额
</t>
    </r>
    <r>
      <rPr>
        <sz val="14"/>
        <color theme="1" tint="0.24994659260841701"/>
        <rFont val="Microsoft YaHei UI"/>
        <family val="2"/>
        <charset val="134"/>
      </rPr>
      <t>（实际收入减实际支出）</t>
    </r>
  </si>
  <si>
    <t>月总收入</t>
  </si>
  <si>
    <r>
      <rPr>
        <b/>
        <sz val="14"/>
        <color theme="1" tint="0.24994659260841701"/>
        <rFont val="Microsoft YaHei UI"/>
        <family val="2"/>
        <charset val="134"/>
      </rPr>
      <t xml:space="preserve">差额
</t>
    </r>
    <r>
      <rPr>
        <sz val="14"/>
        <color theme="1" tint="0.24994659260841701"/>
        <rFont val="Microsoft YaHei UI"/>
        <family val="2"/>
        <charset val="134"/>
      </rPr>
      <t>（实际值减预计值）</t>
    </r>
  </si>
  <si>
    <t>实际月收入</t>
  </si>
  <si>
    <t>每月总收入</t>
  </si>
  <si>
    <t>住房</t>
  </si>
  <si>
    <t>娱乐</t>
  </si>
  <si>
    <t>0</t>
  </si>
  <si>
    <t>预计
费用</t>
  </si>
  <si>
    <t>实际
费用</t>
  </si>
  <si>
    <t>差额</t>
  </si>
  <si>
    <t>抵押贷款或租金</t>
  </si>
  <si>
    <t>视频/DVD</t>
  </si>
  <si>
    <t>电话</t>
  </si>
  <si>
    <t>CD</t>
  </si>
  <si>
    <t>电费</t>
  </si>
  <si>
    <t>电影</t>
  </si>
  <si>
    <t>燃气</t>
  </si>
  <si>
    <t>音乐会</t>
  </si>
  <si>
    <t>用水和排污</t>
  </si>
  <si>
    <t>体育活动</t>
  </si>
  <si>
    <t>有线电视费</t>
  </si>
  <si>
    <t>现场</t>
  </si>
  <si>
    <t>垃圾处理</t>
  </si>
  <si>
    <t>其他</t>
  </si>
  <si>
    <t>保养或修理</t>
  </si>
  <si>
    <t>日用品</t>
  </si>
  <si>
    <t>小计</t>
  </si>
  <si>
    <t>交通</t>
  </si>
  <si>
    <t>贷款</t>
  </si>
  <si>
    <t>汽车还款</t>
  </si>
  <si>
    <t>个人</t>
  </si>
  <si>
    <t>公交/出租车费</t>
  </si>
  <si>
    <t>学生</t>
  </si>
  <si>
    <t>保险</t>
  </si>
  <si>
    <t>牌照</t>
  </si>
  <si>
    <t>燃油</t>
  </si>
  <si>
    <t>维护</t>
  </si>
  <si>
    <t>税款</t>
  </si>
  <si>
    <t>住宅</t>
  </si>
  <si>
    <t>国税</t>
  </si>
  <si>
    <t>健康</t>
  </si>
  <si>
    <t>省/市/自治区税</t>
  </si>
  <si>
    <t>人寿</t>
  </si>
  <si>
    <t>地税</t>
  </si>
  <si>
    <t>食品</t>
  </si>
  <si>
    <t>存款或投资</t>
  </si>
  <si>
    <t>日用杂货</t>
  </si>
  <si>
    <t>养老金帐户</t>
  </si>
  <si>
    <t>外出就餐</t>
  </si>
  <si>
    <t>投资帐户</t>
  </si>
  <si>
    <t>礼品和捐赠</t>
  </si>
  <si>
    <t>慈善 1</t>
  </si>
  <si>
    <t>医疗</t>
  </si>
  <si>
    <t>慈善 2</t>
  </si>
  <si>
    <t>美容</t>
  </si>
  <si>
    <t>慈善 3</t>
  </si>
  <si>
    <t>玩具</t>
  </si>
  <si>
    <t>个人护理</t>
  </si>
  <si>
    <t>法务</t>
  </si>
  <si>
    <t>律师</t>
  </si>
  <si>
    <t>美发/美甲</t>
  </si>
  <si>
    <t>赡养费</t>
  </si>
  <si>
    <t>服装</t>
  </si>
  <si>
    <t>抵押或判决付款</t>
  </si>
  <si>
    <t>干洗</t>
  </si>
  <si>
    <t>健康俱乐部</t>
  </si>
  <si>
    <t>组织费</t>
  </si>
  <si>
    <t>预计总支出</t>
  </si>
  <si>
    <t>实际总支出</t>
  </si>
  <si>
    <t>总差额</t>
  </si>
  <si>
    <t>Contoso 利润表</t>
  </si>
  <si>
    <t>销售总额</t>
  </si>
  <si>
    <t xml:space="preserve">减： </t>
  </si>
  <si>
    <t>退货和折让</t>
  </si>
  <si>
    <t>净销售额</t>
  </si>
  <si>
    <t>所售商品成本</t>
  </si>
  <si>
    <t>期初库存</t>
  </si>
  <si>
    <t>加：</t>
  </si>
  <si>
    <t>购买</t>
  </si>
  <si>
    <t>直接人工费</t>
  </si>
  <si>
    <t>间接费用</t>
  </si>
  <si>
    <t>可用库存</t>
  </si>
  <si>
    <t>减：</t>
  </si>
  <si>
    <t>期末库存</t>
  </si>
  <si>
    <t>总利润（损失）</t>
  </si>
  <si>
    <t>租金</t>
  </si>
  <si>
    <t>分期还款</t>
  </si>
  <si>
    <t>水电费</t>
  </si>
  <si>
    <t>工资和直接成本</t>
  </si>
  <si>
    <t>佣金</t>
  </si>
  <si>
    <t>市场营销</t>
  </si>
  <si>
    <t>物流</t>
  </si>
  <si>
    <t>修理和维护</t>
  </si>
  <si>
    <t>折旧</t>
  </si>
  <si>
    <t>费用总计</t>
  </si>
  <si>
    <t>净营业收入</t>
  </si>
  <si>
    <t>其他收入</t>
  </si>
  <si>
    <t>资产销售的收益（损失）</t>
  </si>
  <si>
    <t>利息收益</t>
  </si>
  <si>
    <t>其他收入总额</t>
  </si>
  <si>
    <t>净收入（损失）</t>
  </si>
  <si>
    <t>损益预测</t>
  </si>
  <si>
    <t>趋势</t>
  </si>
  <si>
    <t>1 月</t>
  </si>
  <si>
    <t>2 月</t>
  </si>
  <si>
    <t>3 月</t>
  </si>
  <si>
    <t>4 月</t>
  </si>
  <si>
    <t>5 月</t>
  </si>
  <si>
    <t>6 月</t>
  </si>
  <si>
    <t>7 月</t>
  </si>
  <si>
    <t>8 月</t>
  </si>
  <si>
    <t>9 月</t>
  </si>
  <si>
    <t>10 月</t>
  </si>
  <si>
    <t>11 月</t>
  </si>
  <si>
    <t>12 月</t>
  </si>
  <si>
    <t>年度</t>
  </si>
  <si>
    <t>行业百分比</t>
  </si>
  <si>
    <t>1 月 %</t>
  </si>
  <si>
    <t>2 月 %</t>
  </si>
  <si>
    <t>3 月 %</t>
  </si>
  <si>
    <t>4 月 %</t>
  </si>
  <si>
    <t>5 月 %</t>
  </si>
  <si>
    <t>6 月 %</t>
  </si>
  <si>
    <t>7 月 %</t>
  </si>
  <si>
    <t>8 月 %</t>
  </si>
  <si>
    <t>9 月 %</t>
  </si>
  <si>
    <t>10 月 %</t>
  </si>
  <si>
    <t>11 月 %</t>
  </si>
  <si>
    <t>12 月 %</t>
  </si>
  <si>
    <t>年度 %</t>
  </si>
  <si>
    <t>收入 2</t>
  </si>
  <si>
    <t>收入 3</t>
  </si>
  <si>
    <t>收入 4</t>
  </si>
  <si>
    <t>收入 5</t>
  </si>
  <si>
    <t>收入 6</t>
  </si>
  <si>
    <t>收入 7</t>
  </si>
  <si>
    <t>总销售额</t>
  </si>
  <si>
    <t>成本</t>
  </si>
  <si>
    <t>指数 %</t>
  </si>
  <si>
    <t>购买费用</t>
  </si>
  <si>
    <t>退货</t>
  </si>
  <si>
    <t>初期库存</t>
  </si>
  <si>
    <t>销售总成本</t>
  </si>
  <si>
    <t>毛利润</t>
  </si>
  <si>
    <t>费用</t>
  </si>
  <si>
    <t xml:space="preserve">工资支出 </t>
  </si>
  <si>
    <t xml:space="preserve">薪金支出 </t>
  </si>
  <si>
    <t>外部服务</t>
  </si>
  <si>
    <t>补给（办公室和运营）</t>
  </si>
  <si>
    <t>广告</t>
  </si>
  <si>
    <t>汽车、送货和旅行</t>
  </si>
  <si>
    <t>会计和法律</t>
  </si>
  <si>
    <t>税款（房地产等）</t>
  </si>
  <si>
    <t>其他费用（指定）</t>
  </si>
  <si>
    <t>杂项（未指定）</t>
  </si>
  <si>
    <t>净利润</t>
  </si>
  <si>
    <t>在此工作表中创建资产负债表。此列的单元格中显示有关如何使用此工作表的有用说明。向下移动箭头以开始了解。</t>
  </si>
  <si>
    <t>资产负责表</t>
  </si>
  <si>
    <t>在右侧单元格中输入公司名称。此工作表的标题位于单元格 D1 中。下一条指示位于单元格 A4 中。</t>
  </si>
  <si>
    <t>资产标签位于右侧单元格中。</t>
  </si>
  <si>
    <t>资产</t>
  </si>
  <si>
    <t>从右侧单元格开始，在“流动资产”表格中输入详细信息。下一条说明位于单元格 A14 中。</t>
  </si>
  <si>
    <t>流动资产：</t>
  </si>
  <si>
    <t>上一年度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</si>
  <si>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</si>
  <si>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</si>
  <si>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</si>
  <si>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</si>
  <si>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</si>
  <si>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</si>
  <si>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</si>
  <si>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</si>
  <si>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</si>
  <si>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</si>
  <si>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</si>
  <si>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</si>
  <si>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现金</t>
  </si>
  <si>
    <t>库存</t>
  </si>
  <si>
    <t>应收帐款</t>
  </si>
  <si>
    <t>预付费用</t>
  </si>
  <si>
    <t>流动资产总额</t>
  </si>
  <si>
    <t>从右侧单元格开始，在“固定资产”表格中输入详细信息。下一条说明位于单元格 A21 中。</t>
  </si>
  <si>
    <t>固定资产：</t>
  </si>
  <si>
    <t>财产和设备</t>
  </si>
  <si>
    <t>租赁权益改良</t>
  </si>
  <si>
    <t>所有者权益及其他投资</t>
  </si>
  <si>
    <t>减去累计折旧</t>
  </si>
  <si>
    <t>固定资产总额</t>
  </si>
  <si>
    <t>从右侧单元格开始，在“其他资产”表格中输入详细信息。下一条说明位于单元格 A25 中。</t>
  </si>
  <si>
    <t>其他资产：</t>
  </si>
  <si>
    <t>商誉</t>
  </si>
  <si>
    <t>其他资产总额</t>
  </si>
  <si>
    <t>单元格 C25 中自动计算上一年度的资产总额，单元格 D25 中自动计算当前年度的资产总额。下一条说明位于单元格 A27 中。</t>
  </si>
  <si>
    <t>资产总额</t>
  </si>
  <si>
    <t>负债和所有者权益标签位于右侧单元格中。</t>
  </si>
  <si>
    <t>负债和所有者权益</t>
  </si>
  <si>
    <t>从右侧单元格开始，在“流动负债”表格中输入详细信息。下一条指示位于单元格 A37 中。</t>
  </si>
  <si>
    <t>流动负债：</t>
  </si>
  <si>
    <t>应付帐款</t>
  </si>
  <si>
    <t>应付工资</t>
  </si>
  <si>
    <t>应付薪酬</t>
  </si>
  <si>
    <t>应付所得税</t>
  </si>
  <si>
    <t>预收收入</t>
  </si>
  <si>
    <t>流动负债总额</t>
  </si>
  <si>
    <t>从右侧单元格开始，在“长期负债”表格中输入详细信息。下一条说明位于单元格 A41 中。</t>
  </si>
  <si>
    <t>长期负债：</t>
  </si>
  <si>
    <t>应付抵押款</t>
  </si>
  <si>
    <t>长期负债总额</t>
  </si>
  <si>
    <t>从右侧单元格开始，在“所有者权益”表格中输入详细信息。下一条指示位于单元格 A46 中。</t>
  </si>
  <si>
    <t>所有者权益：</t>
  </si>
  <si>
    <t>投资资本</t>
  </si>
  <si>
    <t>累计留存收益</t>
  </si>
  <si>
    <t>所有者权益总额</t>
  </si>
  <si>
    <t>单元格 C46 中自动计算上一年度的负债和所有者权益总额，单元格 D46 中自动计算当前年度的负债和所有者权益总额。下一条指示位于单元格 A49 中。</t>
  </si>
  <si>
    <t>负债和所有者权益总额</t>
  </si>
  <si>
    <t>单元格 C49 中自动计算上一年度的余额，单元格 D49 中自动计算当前年度的余额。</t>
  </si>
  <si>
    <t>余额</t>
  </si>
  <si>
    <t>包含双倍递减折旧计算的固定资产记录</t>
  </si>
  <si>
    <t>资产名称</t>
  </si>
  <si>
    <t>资产类别</t>
  </si>
  <si>
    <t>描述</t>
  </si>
  <si>
    <t>物理位置</t>
  </si>
  <si>
    <t>资产编号</t>
  </si>
  <si>
    <t>序列号</t>
  </si>
  <si>
    <t>购进日期</t>
  </si>
  <si>
    <t>购进价格</t>
  </si>
  <si>
    <t>估计使用寿命（年）</t>
  </si>
  <si>
    <t>估计折旧残值</t>
  </si>
  <si>
    <t>折旧年限</t>
  </si>
  <si>
    <t>估计双倍递减折旧值</t>
  </si>
  <si>
    <t>行政办公楼</t>
  </si>
  <si>
    <t>建筑物</t>
  </si>
  <si>
    <t>天水葡萄酒厂行政办公楼</t>
  </si>
  <si>
    <r>
      <rPr>
        <sz val="11"/>
        <color theme="1" tint="0.14990691854609822"/>
        <rFont val="Microsoft YaHei UI"/>
        <family val="2"/>
        <charset val="134"/>
      </rPr>
      <t>幸福大街</t>
    </r>
    <r>
      <rPr>
        <sz val="9"/>
        <rFont val="Arial"/>
        <family val="2"/>
      </rPr>
      <t xml:space="preserve"> 123 </t>
    </r>
    <r>
      <rPr>
        <sz val="9"/>
        <rFont val="宋体"/>
        <family val="3"/>
        <charset val="134"/>
      </rPr>
      <t>号</t>
    </r>
  </si>
  <si>
    <t>无</t>
  </si>
  <si>
    <t>行政办公楼服务器</t>
  </si>
  <si>
    <t>机械和设备</t>
  </si>
  <si>
    <t>用于存储公司文件的服务器</t>
  </si>
  <si>
    <r>
      <rPr>
        <sz val="11"/>
        <color theme="1" tint="0.14990691854609822"/>
        <rFont val="Microsoft YaHei UI"/>
        <family val="2"/>
        <charset val="134"/>
      </rPr>
      <t>行政办公楼</t>
    </r>
    <r>
      <rPr>
        <sz val="9"/>
        <rFont val="Arial"/>
        <family val="2"/>
      </rPr>
      <t xml:space="preserve"> 4 </t>
    </r>
    <r>
      <rPr>
        <sz val="9"/>
        <rFont val="宋体"/>
        <family val="3"/>
        <charset val="134"/>
      </rPr>
      <t>层</t>
    </r>
  </si>
  <si>
    <t>14</t>
  </si>
  <si>
    <t>4463-22A</t>
  </si>
  <si>
    <t>包含固定递减折旧计算的固定资产记录</t>
  </si>
  <si>
    <t>估计固定递减折旧值</t>
  </si>
  <si>
    <t>包含直线折旧计算的固定资产记录</t>
  </si>
  <si>
    <t>估计直线折旧值</t>
  </si>
  <si>
    <r>
      <rPr>
        <sz val="10"/>
        <rFont val="宋体"/>
        <family val="3"/>
        <charset val="134"/>
      </rPr>
      <t>幸福大街</t>
    </r>
    <r>
      <rPr>
        <sz val="10"/>
        <color theme="1" tint="0.24994659260841701"/>
        <rFont val="Microsoft YaHei UI"/>
        <family val="2"/>
        <charset val="134"/>
      </rPr>
      <t xml:space="preserve"> 123 </t>
    </r>
    <r>
      <rPr>
        <sz val="10"/>
        <rFont val="宋体"/>
        <family val="3"/>
        <charset val="134"/>
      </rPr>
      <t>号</t>
    </r>
  </si>
  <si>
    <t>20</t>
  </si>
  <si>
    <r>
      <rPr>
        <sz val="10"/>
        <rFont val="宋体"/>
        <family val="3"/>
        <charset val="134"/>
      </rPr>
      <t>行政办公楼</t>
    </r>
    <r>
      <rPr>
        <sz val="10"/>
        <color theme="1" tint="0.24994659260841701"/>
        <rFont val="Microsoft YaHei UI"/>
        <family val="2"/>
        <charset val="134"/>
      </rPr>
      <t xml:space="preserve"> 4 </t>
    </r>
    <r>
      <rPr>
        <sz val="10"/>
        <rFont val="宋体"/>
        <family val="3"/>
        <charset val="134"/>
      </rPr>
      <t>层</t>
    </r>
  </si>
  <si>
    <t>2026化妆工作室</t>
    <phoneticPr fontId="105" type="noConversion"/>
  </si>
  <si>
    <t>化妆工作室</t>
    <phoneticPr fontId="105" type="noConversion"/>
  </si>
  <si>
    <t>收支财务报表</t>
    <phoneticPr fontId="105" type="noConversion"/>
  </si>
  <si>
    <t>吴文凯投入</t>
    <phoneticPr fontId="105" type="noConversion"/>
  </si>
  <si>
    <t>https://mobile.yangkeduo.com/goods2.html?ps=pSymVeNXNe</t>
  </si>
  <si>
    <t>米白铝箔底真防潮贴纸60cmx12m</t>
    <phoneticPr fontId="105" type="noConversion"/>
  </si>
  <si>
    <t>宽带</t>
    <phoneticPr fontId="105" type="noConversion"/>
  </si>
  <si>
    <t>电话</t>
    <phoneticPr fontId="105" type="noConversion"/>
  </si>
  <si>
    <t>https://mobile.yangkeduo.com/goods2.html?ps=JwqxaYnoXC</t>
  </si>
  <si>
    <t>浅蓝铝箔底真防潮贴纸60cmx12m</t>
    <phoneticPr fontId="105" type="noConversion"/>
  </si>
  <si>
    <t>类型</t>
    <phoneticPr fontId="105" type="noConversion"/>
  </si>
  <si>
    <t>贷款/其他现金投入</t>
    <phoneticPr fontId="105" type="noConversion"/>
  </si>
  <si>
    <t>装修</t>
  </si>
  <si>
    <t>装修</t>
    <phoneticPr fontId="105" type="noConversion"/>
  </si>
  <si>
    <t>顶天立地衣架
加高3.6m\加粗38管径5立8横</t>
    <phoneticPr fontId="105" type="noConversion"/>
  </si>
  <si>
    <t>https://mobile.yangkeduo.com/goods.html?ps=50D9qeUJ2m</t>
  </si>
  <si>
    <t>月度预算</t>
    <phoneticPr fontId="105" type="noConversion"/>
  </si>
  <si>
    <t>小熊板毛毡墙
120*180</t>
    <phoneticPr fontId="105" type="noConversion"/>
  </si>
  <si>
    <t>https://mobile.yangkeduo.com/goods.html?ps=CnJSzRfray</t>
  </si>
  <si>
    <t>免打孔安装窗帘杆
   白色2.68-3.18m</t>
    <phoneticPr fontId="105" type="noConversion"/>
  </si>
  <si>
    <t>免打孔安装窗帘杆
   白色3.18-3.68m</t>
    <phoneticPr fontId="105" type="noConversion"/>
  </si>
  <si>
    <t>化妆课</t>
    <phoneticPr fontId="105" type="noConversion"/>
  </si>
  <si>
    <t>pq化妆私教课</t>
    <phoneticPr fontId="105" type="noConversion"/>
  </si>
  <si>
    <t>萱萱抽成</t>
    <phoneticPr fontId="105" type="noConversion"/>
  </si>
  <si>
    <t>酬劳</t>
    <phoneticPr fontId="105" type="noConversion"/>
  </si>
  <si>
    <t>工作室成立之前客户</t>
    <phoneticPr fontId="105" type="noConversion"/>
  </si>
  <si>
    <t>图片</t>
    <phoneticPr fontId="105" type="noConversion"/>
  </si>
  <si>
    <t>序列号</t>
    <phoneticPr fontId="105" type="noConversion"/>
  </si>
  <si>
    <t>成片</t>
    <phoneticPr fontId="105" type="noConversion"/>
  </si>
  <si>
    <t>香染衣罗原创【隆客吟】紫色印花衫子三裥裙蓝色齐胸裙汉服套装</t>
    <phoneticPr fontId="105" type="noConversion"/>
  </si>
  <si>
    <t>汉服</t>
    <phoneticPr fontId="105" type="noConversion"/>
  </si>
  <si>
    <t>收购工作室服装、道具</t>
    <phoneticPr fontId="105" type="noConversion"/>
  </si>
  <si>
    <t>采购</t>
    <phoneticPr fontId="105" type="noConversion"/>
  </si>
  <si>
    <t>萱萱处收购</t>
    <phoneticPr fontId="10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</si>
</sst>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0">
    <numFmt numFmtId="176" formatCode="_ * #,##0.00_ ;_ * \-#,##0.00_ ;_ * &quot;-&quot;??_ ;_ @_ "/>
    <numFmt numFmtId="177" formatCode="mmm"/>
    <numFmt numFmtId="178" formatCode="0_);\!\-0_)"/>
    <numFmt numFmtId="179" formatCode="[&lt;=9999999]###\-####;\(###\)\ ###\-####"/>
    <numFmt numFmtId="180" formatCode="_ \¥* #,##0_ ;_ \¥* \-#,##0_ ;_ \¥* &quot;-&quot;_ ;_ @_ "/>
    <numFmt numFmtId="181" formatCode="yyyy&quot;年&quot;m&quot;月&quot;d&quot;日&quot;;@"/>
    <numFmt numFmtId="182" formatCode="_(&quot;￥&quot;* #,##0.00_);_(&quot;￥&quot;* \(#,##0.00\);_(&quot;￥&quot;* &quot;-&quot;??_);_(@_)"/>
    <numFmt numFmtId="183" formatCode="\¥#,##0.00_);\(\¥#,##0.00\)"/>
    <numFmt numFmtId="184" formatCode="\¥#,##0.00;\¥\-#,##0.00"/>
    <numFmt numFmtId="185" formatCode="_(&quot;$&quot;* #,##0.00_);_(&quot;$&quot;* \(#,##0.00\);_(&quot;$&quot;* &quot;-&quot;??_);_(@_)"/>
    <numFmt numFmtId="186" formatCode="_ \¥* #,##0.00_ ;_ \¥* \-#,##0.00_ ;_ \¥* &quot;-&quot;??_ ;_ @_ "/>
    <numFmt numFmtId="187" formatCode="\¥#,##0.00_);[Red]\(\¥#,##0.00\)"/>
    <numFmt numFmtId="188" formatCode="dd"/>
    <numFmt numFmtId="189" formatCode="yyyy\-mm\-dd;@"/>
    <numFmt numFmtId="190" formatCode="#,##0.00_ "/>
    <numFmt numFmtId="191" formatCode="&quot;-&quot;#,##0.00_ "/>
    <numFmt numFmtId="192" formatCode="&quot;+&quot;#,##0.00_ "/>
    <numFmt numFmtId="193" formatCode="General&quot;年&quot;"/>
    <numFmt numFmtId="194" formatCode="00&quot;月&quot;"/>
    <numFmt numFmtId="195" formatCode="&quot;￥&quot;#,##0.00_);[Red]\(&quot;￥&quot;#,##0.00\)"/>
  </numFmts>
  <fonts count="116">
    <font>
      <sz val="10"/>
      <color theme="1" tint="0.24994659260841701"/>
      <name val="Microsoft YaHei UI"/>
      <charset val="134"/>
    </font>
    <font>
      <sz val="11"/>
      <color theme="1" tint="0.14990691854609822"/>
      <name val="Microsoft YaHei UI"/>
      <family val="2"/>
      <charset val="134"/>
    </font>
    <font>
      <b/>
      <sz val="20"/>
      <color indexed="9"/>
      <name val="华文新魏"/>
      <family val="3"/>
      <charset val="134"/>
    </font>
    <font>
      <sz val="10"/>
      <color indexed="9"/>
      <name val="华文新魏"/>
      <family val="3"/>
      <charset val="134"/>
    </font>
    <font>
      <b/>
      <sz val="12"/>
      <color indexed="62"/>
      <name val="华文新魏"/>
      <family val="3"/>
      <charset val="134"/>
    </font>
    <font>
      <sz val="10"/>
      <name val="宋体"/>
      <family val="3"/>
      <charset val="134"/>
    </font>
    <font>
      <b/>
      <sz val="26"/>
      <color indexed="63"/>
      <name val="华文新魏"/>
      <family val="3"/>
      <charset val="134"/>
    </font>
    <font>
      <sz val="26"/>
      <color indexed="63"/>
      <name val="华文新魏"/>
      <family val="3"/>
      <charset val="134"/>
    </font>
    <font>
      <b/>
      <sz val="12"/>
      <color indexed="9"/>
      <name val="华文新魏"/>
      <family val="3"/>
      <charset val="134"/>
    </font>
    <font>
      <sz val="10"/>
      <name val="Arial"/>
      <family val="2"/>
    </font>
    <font>
      <b/>
      <sz val="10"/>
      <color theme="1"/>
      <name val="Microsoft YaHei UI"/>
      <family val="2"/>
      <charset val="134"/>
    </font>
    <font>
      <sz val="10"/>
      <color theme="0"/>
      <name val="Microsoft YaHei UI"/>
      <family val="2"/>
      <charset val="134"/>
    </font>
    <font>
      <sz val="10"/>
      <color theme="1"/>
      <name val="Microsoft YaHei UI"/>
      <family val="2"/>
      <charset val="134"/>
    </font>
    <font>
      <b/>
      <sz val="16"/>
      <color theme="1"/>
      <name val="Microsoft YaHei UI"/>
      <family val="2"/>
      <charset val="134"/>
    </font>
    <font>
      <b/>
      <sz val="13"/>
      <color theme="1"/>
      <name val="Microsoft YaHei UI"/>
      <family val="2"/>
      <charset val="134"/>
    </font>
    <font>
      <b/>
      <sz val="11"/>
      <color theme="1"/>
      <name val="Microsoft YaHei UI"/>
      <family val="2"/>
      <charset val="134"/>
    </font>
    <font>
      <b/>
      <sz val="10"/>
      <color theme="0"/>
      <name val="Microsoft YaHei UI"/>
      <family val="2"/>
      <charset val="134"/>
    </font>
    <font>
      <b/>
      <sz val="10"/>
      <name val="Microsoft YaHei UI"/>
      <family val="2"/>
      <charset val="134"/>
    </font>
    <font>
      <sz val="10"/>
      <color theme="1" tint="0.24994659260841701"/>
      <name val="Microsoft YaHei UI"/>
      <family val="2"/>
      <charset val="134"/>
    </font>
    <font>
      <sz val="11"/>
      <color theme="1"/>
      <name val="Microsoft YaHei UI"/>
      <family val="2"/>
      <charset val="134"/>
    </font>
    <font>
      <sz val="11"/>
      <name val="Microsoft YaHei UI"/>
      <family val="2"/>
      <charset val="134"/>
    </font>
    <font>
      <b/>
      <sz val="44"/>
      <name val="Microsoft YaHei UI"/>
      <family val="2"/>
      <charset val="134"/>
    </font>
    <font>
      <b/>
      <sz val="36"/>
      <name val="Microsoft YaHei UI"/>
      <family val="2"/>
      <charset val="134"/>
    </font>
    <font>
      <b/>
      <sz val="26"/>
      <name val="Microsoft YaHei UI"/>
      <family val="2"/>
      <charset val="134"/>
    </font>
    <font>
      <b/>
      <sz val="26"/>
      <color theme="3"/>
      <name val="Microsoft YaHei UI"/>
      <family val="2"/>
      <charset val="134"/>
    </font>
    <font>
      <sz val="12"/>
      <color theme="0"/>
      <name val="Microsoft YaHei UI"/>
      <family val="2"/>
      <charset val="134"/>
    </font>
    <font>
      <b/>
      <sz val="12"/>
      <color theme="1"/>
      <name val="Microsoft YaHei UI"/>
      <family val="2"/>
      <charset val="134"/>
    </font>
    <font>
      <sz val="10"/>
      <name val="Microsoft YaHei UI"/>
      <family val="2"/>
      <charset val="134"/>
    </font>
    <font>
      <b/>
      <i/>
      <sz val="22"/>
      <color theme="7"/>
      <name val="Microsoft YaHei UI"/>
      <family val="2"/>
      <charset val="134"/>
    </font>
    <font>
      <b/>
      <sz val="11"/>
      <color theme="8"/>
      <name val="Microsoft YaHei UI"/>
      <family val="2"/>
      <charset val="134"/>
    </font>
    <font>
      <i/>
      <sz val="22"/>
      <color theme="3" tint="-0.499984740745262"/>
      <name val="Microsoft YaHei UI"/>
      <family val="2"/>
      <charset val="134"/>
    </font>
    <font>
      <sz val="22"/>
      <color theme="3" tint="-0.499984740745262"/>
      <name val="Microsoft YaHei UI"/>
      <family val="2"/>
      <charset val="134"/>
    </font>
    <font>
      <sz val="16"/>
      <color theme="3" tint="-0.499984740745262"/>
      <name val="Microsoft YaHei UI"/>
      <family val="2"/>
      <charset val="134"/>
    </font>
    <font>
      <sz val="11"/>
      <color theme="3" tint="-0.499984740745262"/>
      <name val="Microsoft YaHei UI"/>
      <family val="2"/>
      <charset val="134"/>
    </font>
    <font>
      <b/>
      <sz val="12"/>
      <color theme="8"/>
      <name val="Microsoft YaHei UI"/>
      <family val="2"/>
      <charset val="134"/>
    </font>
    <font>
      <b/>
      <i/>
      <sz val="22"/>
      <color theme="7" tint="-0.24994659260841701"/>
      <name val="Microsoft YaHei UI"/>
      <family val="2"/>
      <charset val="134"/>
    </font>
    <font>
      <b/>
      <sz val="22"/>
      <color theme="3"/>
      <name val="Microsoft YaHei UI"/>
      <family val="2"/>
      <charset val="134"/>
    </font>
    <font>
      <sz val="12"/>
      <color theme="1"/>
      <name val="Microsoft YaHei UI"/>
      <family val="2"/>
      <charset val="134"/>
    </font>
    <font>
      <sz val="11"/>
      <color theme="0"/>
      <name val="Microsoft YaHei UI"/>
      <family val="2"/>
      <charset val="134"/>
    </font>
    <font>
      <sz val="14"/>
      <color theme="1"/>
      <name val="Microsoft YaHei UI"/>
      <family val="2"/>
      <charset val="134"/>
    </font>
    <font>
      <sz val="10"/>
      <color theme="1" tint="0.14996795556505021"/>
      <name val="Microsoft YaHei UI"/>
      <family val="2"/>
      <charset val="134"/>
    </font>
    <font>
      <sz val="24"/>
      <color theme="4"/>
      <name val="Microsoft YaHei UI"/>
      <family val="2"/>
      <charset val="134"/>
    </font>
    <font>
      <sz val="40"/>
      <color theme="4"/>
      <name val="Microsoft YaHei UI"/>
      <family val="2"/>
      <charset val="134"/>
    </font>
    <font>
      <sz val="18"/>
      <color theme="4"/>
      <name val="Microsoft YaHei UI"/>
      <family val="2"/>
      <charset val="134"/>
    </font>
    <font>
      <sz val="14"/>
      <color theme="1" tint="0.14996795556505021"/>
      <name val="Microsoft YaHei UI"/>
      <family val="2"/>
      <charset val="134"/>
    </font>
    <font>
      <sz val="10"/>
      <color theme="8" tint="-0.499984740745262"/>
      <name val="Microsoft YaHei UI"/>
      <family val="2"/>
      <charset val="134"/>
    </font>
    <font>
      <sz val="10"/>
      <color theme="8" tint="-0.249977111117893"/>
      <name val="Microsoft YaHei UI"/>
      <family val="2"/>
      <charset val="134"/>
    </font>
    <font>
      <sz val="11"/>
      <color theme="1"/>
      <name val="Calibri"/>
      <family val="2"/>
      <scheme val="minor"/>
    </font>
    <font>
      <sz val="10"/>
      <color theme="1" tint="0.24994659260841701"/>
      <name val="Calibri"/>
      <family val="2"/>
      <scheme val="major"/>
    </font>
    <font>
      <sz val="10"/>
      <color theme="0"/>
      <name val="Calibri"/>
      <family val="2"/>
      <scheme val="minor"/>
    </font>
    <font>
      <b/>
      <sz val="40"/>
      <color theme="4"/>
      <name val="Microsoft YaHei UI"/>
      <family val="2"/>
      <charset val="134"/>
    </font>
    <font>
      <b/>
      <sz val="20"/>
      <color theme="4"/>
      <name val="Microsoft YaHei UI"/>
      <family val="2"/>
      <charset val="134"/>
    </font>
    <font>
      <sz val="14"/>
      <color theme="4"/>
      <name val="Microsoft YaHei UI"/>
      <family val="2"/>
      <charset val="134"/>
    </font>
    <font>
      <b/>
      <sz val="14"/>
      <color theme="1"/>
      <name val="Microsoft YaHei UI"/>
      <family val="2"/>
      <charset val="134"/>
    </font>
    <font>
      <sz val="12"/>
      <color theme="1" tint="0.34998626667073579"/>
      <name val="Microsoft YaHei UI"/>
      <family val="2"/>
      <charset val="134"/>
    </font>
    <font>
      <b/>
      <sz val="14"/>
      <color theme="1" tint="0.24994659260841701"/>
      <name val="Microsoft YaHei UI"/>
      <family val="2"/>
      <charset val="134"/>
    </font>
    <font>
      <sz val="14"/>
      <color theme="1" tint="0.24994659260841701"/>
      <name val="Microsoft YaHei UI"/>
      <family val="2"/>
      <charset val="134"/>
    </font>
    <font>
      <b/>
      <sz val="14"/>
      <color theme="1" tint="0.34998626667073579"/>
      <name val="Microsoft YaHei UI"/>
      <family val="2"/>
      <charset val="134"/>
    </font>
    <font>
      <b/>
      <sz val="12"/>
      <color theme="1" tint="0.34998626667073579"/>
      <name val="Microsoft YaHei UI"/>
      <family val="2"/>
      <charset val="134"/>
    </font>
    <font>
      <b/>
      <sz val="20"/>
      <color theme="8"/>
      <name val="Microsoft YaHei UI"/>
      <family val="2"/>
      <charset val="134"/>
    </font>
    <font>
      <b/>
      <sz val="10"/>
      <color theme="1" tint="0.24994659260841701"/>
      <name val="Microsoft YaHei UI"/>
      <family val="2"/>
      <charset val="134"/>
    </font>
    <font>
      <sz val="12"/>
      <name val="Microsoft YaHei UI"/>
      <family val="2"/>
      <charset val="134"/>
    </font>
    <font>
      <b/>
      <sz val="12"/>
      <name val="Microsoft YaHei UI"/>
      <family val="2"/>
      <charset val="134"/>
    </font>
    <font>
      <b/>
      <sz val="20"/>
      <color theme="1" tint="0.34998626667073579"/>
      <name val="Microsoft YaHei UI"/>
      <family val="2"/>
      <charset val="134"/>
    </font>
    <font>
      <sz val="10"/>
      <color theme="8"/>
      <name val="Microsoft YaHei UI"/>
      <family val="2"/>
      <charset val="134"/>
    </font>
    <font>
      <sz val="12"/>
      <color theme="1" tint="0.24994659260841701"/>
      <name val="Microsoft YaHei UI"/>
      <family val="2"/>
      <charset val="134"/>
    </font>
    <font>
      <b/>
      <sz val="14"/>
      <color theme="0"/>
      <name val="Microsoft YaHei UI"/>
      <family val="2"/>
      <charset val="134"/>
    </font>
    <font>
      <b/>
      <sz val="14"/>
      <color theme="8"/>
      <name val="Microsoft YaHei UI"/>
      <family val="2"/>
      <charset val="134"/>
    </font>
    <font>
      <b/>
      <sz val="20"/>
      <color theme="0"/>
      <name val="Microsoft YaHei UI"/>
      <family val="2"/>
      <charset val="134"/>
    </font>
    <font>
      <b/>
      <sz val="12"/>
      <color theme="1" tint="0.24994659260841701"/>
      <name val="Microsoft YaHei UI"/>
      <family val="2"/>
      <charset val="134"/>
    </font>
    <font>
      <sz val="22"/>
      <color theme="3" tint="0.24994659260841701"/>
      <name val="Microsoft YaHei UI"/>
      <family val="2"/>
      <charset val="134"/>
    </font>
    <font>
      <sz val="10"/>
      <color theme="1" tint="0.14993743705557422"/>
      <name val="Microsoft YaHei UI"/>
      <family val="2"/>
      <charset val="134"/>
    </font>
    <font>
      <b/>
      <sz val="28"/>
      <color theme="4"/>
      <name val="Microsoft YaHei UI"/>
      <family val="2"/>
      <charset val="134"/>
    </font>
    <font>
      <b/>
      <sz val="11"/>
      <color theme="4" tint="-0.249977111117893"/>
      <name val="Microsoft YaHei UI"/>
      <family val="2"/>
      <charset val="134"/>
    </font>
    <font>
      <b/>
      <sz val="14"/>
      <color theme="1" tint="0.14972380748924222"/>
      <name val="Microsoft YaHei UI"/>
      <family val="2"/>
      <charset val="134"/>
    </font>
    <font>
      <sz val="9"/>
      <color theme="1" tint="0.14996795556505021"/>
      <name val="Microsoft YaHei UI"/>
      <family val="2"/>
      <charset val="134"/>
    </font>
    <font>
      <sz val="18"/>
      <color theme="1" tint="0.14993743705557422"/>
      <name val="Microsoft YaHei UI"/>
      <family val="2"/>
      <charset val="134"/>
    </font>
    <font>
      <b/>
      <sz val="11"/>
      <color theme="1" tint="0.14972380748924222"/>
      <name val="Microsoft YaHei UI"/>
      <family val="2"/>
      <charset val="134"/>
    </font>
    <font>
      <sz val="11"/>
      <color theme="1" tint="0.14972380748924222"/>
      <name val="Microsoft YaHei UI"/>
      <family val="2"/>
      <charset val="134"/>
    </font>
    <font>
      <sz val="10"/>
      <color theme="1" tint="0.499984740745262"/>
      <name val="Microsoft YaHei UI"/>
      <family val="2"/>
      <charset val="134"/>
    </font>
    <font>
      <b/>
      <sz val="12"/>
      <color theme="1" tint="0.14996795556505021"/>
      <name val="Microsoft YaHei UI"/>
      <family val="2"/>
      <charset val="134"/>
    </font>
    <font>
      <sz val="11"/>
      <color theme="1" tint="0.34998626667073579"/>
      <name val="微软雅黑"/>
      <family val="2"/>
      <charset val="134"/>
    </font>
    <font>
      <b/>
      <sz val="11"/>
      <color rgb="FFFF0000"/>
      <name val="微软雅黑"/>
      <family val="2"/>
      <charset val="134"/>
    </font>
    <font>
      <sz val="11"/>
      <color theme="1"/>
      <name val="微软雅黑"/>
      <family val="2"/>
      <charset val="134"/>
    </font>
    <font>
      <b/>
      <sz val="20"/>
      <color rgb="FF24AEBE"/>
      <name val="微软雅黑"/>
      <family val="2"/>
      <charset val="134"/>
    </font>
    <font>
      <sz val="11"/>
      <color theme="0"/>
      <name val="微软雅黑"/>
      <family val="2"/>
      <charset val="134"/>
    </font>
    <font>
      <b/>
      <sz val="11"/>
      <color theme="8"/>
      <name val="微软雅黑"/>
      <family val="2"/>
      <charset val="134"/>
    </font>
    <font>
      <sz val="11"/>
      <color theme="0" tint="-4.9989318521683403E-2"/>
      <name val="微软雅黑"/>
      <family val="2"/>
      <charset val="134"/>
    </font>
    <font>
      <b/>
      <sz val="20"/>
      <color theme="0" tint="-4.9989318521683403E-2"/>
      <name val="微软雅黑"/>
      <family val="2"/>
      <charset val="134"/>
    </font>
    <font>
      <sz val="11"/>
      <color theme="0" tint="-0.14993743705557422"/>
      <name val="微软雅黑"/>
      <family val="2"/>
      <charset val="134"/>
    </font>
    <font>
      <b/>
      <sz val="16"/>
      <color theme="4" tint="0.79992065187536243"/>
      <name val="微软雅黑"/>
      <family val="2"/>
      <charset val="134"/>
    </font>
    <font>
      <b/>
      <sz val="16"/>
      <color theme="5" tint="0.79992065187536243"/>
      <name val="微软雅黑"/>
      <family val="2"/>
      <charset val="134"/>
    </font>
    <font>
      <b/>
      <sz val="16"/>
      <color theme="0"/>
      <name val="微软雅黑"/>
      <family val="2"/>
      <charset val="134"/>
    </font>
    <font>
      <b/>
      <sz val="11"/>
      <color theme="0"/>
      <name val="微软雅黑"/>
      <family val="2"/>
      <charset val="134"/>
    </font>
    <font>
      <b/>
      <sz val="13"/>
      <color theme="0"/>
      <name val="微软雅黑"/>
      <family val="2"/>
      <charset val="134"/>
    </font>
    <font>
      <sz val="18"/>
      <color theme="1" tint="0.14993743705557422"/>
      <name val="Calibri"/>
      <family val="2"/>
      <scheme val="major"/>
    </font>
    <font>
      <sz val="10"/>
      <color theme="1" tint="0.14996795556505021"/>
      <name val="Calibri"/>
      <family val="2"/>
      <scheme val="minor"/>
    </font>
    <font>
      <sz val="11"/>
      <color theme="1" tint="0.14972380748924222"/>
      <name val="Calibri"/>
      <family val="2"/>
      <scheme val="major"/>
    </font>
    <font>
      <b/>
      <i/>
      <sz val="16"/>
      <color theme="7" tint="-0.24994659260841701"/>
      <name val="Microsoft YaHei UI"/>
      <family val="2"/>
      <charset val="134"/>
    </font>
    <font>
      <b/>
      <sz val="28"/>
      <color theme="4"/>
      <name val="Calibri"/>
      <family val="2"/>
      <scheme val="major"/>
    </font>
    <font>
      <sz val="10"/>
      <color theme="1" tint="0.14993743705557422"/>
      <name val="Calibri"/>
      <family val="2"/>
      <scheme val="minor"/>
    </font>
    <font>
      <sz val="11"/>
      <color theme="4" tint="-0.499984740745262"/>
      <name val="Microsoft YaHei UI"/>
      <family val="2"/>
      <charset val="134"/>
    </font>
    <font>
      <sz val="9"/>
      <name val="Arial"/>
      <family val="2"/>
    </font>
    <font>
      <sz val="9"/>
      <name val="宋体"/>
      <family val="3"/>
      <charset val="134"/>
    </font>
    <font>
      <b/>
      <sz val="28"/>
      <color theme="1" tint="0.14996795556505021"/>
      <name val="Microsoft YaHei UI"/>
      <family val="2"/>
      <charset val="134"/>
    </font>
    <font>
      <sz val="9"/>
      <name val="Microsoft YaHei UI"/>
      <family val="2"/>
      <charset val="134"/>
    </font>
    <font>
      <sz val="24"/>
      <color theme="4"/>
      <name val="Microsoft YaHei UI"/>
      <family val="2"/>
      <charset val="134"/>
    </font>
    <font>
      <b/>
      <sz val="44"/>
      <name val="Microsoft YaHei UI"/>
      <family val="2"/>
      <charset val="134"/>
    </font>
    <font>
      <sz val="10"/>
      <color theme="1" tint="0.499984740745262"/>
      <name val="Microsoft YaHei UI"/>
      <family val="2"/>
      <charset val="134"/>
    </font>
    <font>
      <b/>
      <sz val="20"/>
      <color rgb="FF24AEBE"/>
      <name val="微软雅黑"/>
      <family val="2"/>
      <charset val="134"/>
    </font>
    <font>
      <b/>
      <sz val="9"/>
      <color rgb="FF000000"/>
      <name val="宋体"/>
      <family val="3"/>
      <charset val="134"/>
    </font>
    <font>
      <sz val="9"/>
      <color rgb="FF000000"/>
      <name val="宋体"/>
      <family val="3"/>
      <charset val="134"/>
    </font>
    <font>
      <sz val="11"/>
      <color theme="1" tint="0.34998626667073579"/>
      <name val="微软雅黑"/>
      <family val="2"/>
      <charset val="134"/>
    </font>
    <font>
      <sz val="11"/>
      <color theme="0"/>
      <name val="微软雅黑"/>
      <family val="2"/>
      <charset val="134"/>
    </font>
    <font>
      <b/>
      <sz val="40"/>
      <color theme="4"/>
      <name val="Microsoft YaHei UI"/>
      <family val="2"/>
      <charset val="134"/>
    </font>
    <font>
      <sz val="11"/>
      <color rgb="FF595959"/>
      <name val="微软雅黑"/>
      <family val="2"/>
      <charset val="134"/>
    </font>
  </fonts>
  <fills count="29">
    <fill>
      <patternFill patternType="none"/>
    </fill>
    <fill>
      <patternFill patternType="gray125"/>
    </fill>
    <fill>
      <patternFill patternType="solid">
        <fgColor indexed="3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6"/>
        <bgColor indexed="64"/>
      </patternFill>
    </fill>
    <fill>
      <patternFill patternType="lightUp">
        <fgColor theme="0"/>
        <bgColor theme="4" tint="0.39994506668294322"/>
      </patternFill>
    </fill>
    <fill>
      <patternFill patternType="lightUp">
        <fgColor theme="0"/>
        <bgColor theme="4" tint="0.79995117038483843"/>
      </patternFill>
    </fill>
    <fill>
      <patternFill patternType="lightUp">
        <fgColor theme="0"/>
        <bgColor theme="5" tint="0.39994506668294322"/>
      </patternFill>
    </fill>
    <fill>
      <patternFill patternType="lightUp">
        <fgColor theme="0"/>
        <bgColor theme="5" tint="0.79995117038483843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145481734672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206518753624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8" tint="0.59996337778862885"/>
        <bgColor indexed="64"/>
      </patternFill>
    </fill>
    <fill>
      <patternFill patternType="solid">
        <fgColor theme="8" tint="0.79992065187536243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rgb="FF28BED2"/>
        <bgColor indexed="64"/>
      </patternFill>
    </fill>
    <fill>
      <patternFill patternType="solid">
        <fgColor rgb="FF1E909E"/>
        <bgColor indexed="64"/>
      </patternFill>
    </fill>
    <fill>
      <patternFill patternType="solid">
        <fgColor theme="5" tint="0.39991454817346722"/>
        <bgColor indexed="64"/>
      </patternFill>
    </fill>
    <fill>
      <patternFill patternType="solid">
        <fgColor theme="6" tint="0.39991454817346722"/>
        <bgColor indexed="64"/>
      </patternFill>
    </fill>
  </fills>
  <borders count="5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ck">
        <color indexed="62"/>
      </bottom>
      <diagonal/>
    </border>
    <border>
      <left/>
      <right/>
      <top style="thin">
        <color auto="1"/>
      </top>
      <bottom style="thick">
        <color indexed="62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55"/>
      </left>
      <right style="thin">
        <color indexed="55"/>
      </right>
      <top/>
      <bottom style="thin">
        <color indexed="55"/>
      </bottom>
      <diagonal/>
    </border>
    <border>
      <left/>
      <right style="thin">
        <color indexed="22"/>
      </right>
      <top/>
      <bottom style="thin">
        <color indexed="55"/>
      </bottom>
      <diagonal/>
    </border>
    <border>
      <left style="thin">
        <color indexed="22"/>
      </left>
      <right style="thin">
        <color indexed="22"/>
      </right>
      <top/>
      <bottom style="thin">
        <color indexed="55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 style="thin">
        <color auto="1"/>
      </right>
      <top style="thin">
        <color auto="1"/>
      </top>
      <bottom style="thick">
        <color indexed="62"/>
      </bottom>
      <diagonal/>
    </border>
    <border>
      <left style="thin">
        <color indexed="22"/>
      </left>
      <right/>
      <top/>
      <bottom style="thin">
        <color indexed="55"/>
      </bottom>
      <diagonal/>
    </border>
    <border>
      <left/>
      <right/>
      <top style="medium">
        <color theme="0"/>
      </top>
      <bottom style="medium">
        <color theme="0"/>
      </bottom>
      <diagonal/>
    </border>
    <border>
      <left/>
      <right/>
      <top/>
      <bottom style="thick">
        <color theme="4" tint="0.39994506668294322"/>
      </bottom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/>
      <top/>
      <bottom style="thick">
        <color theme="5" tint="0.499984740745262"/>
      </bottom>
      <diagonal/>
    </border>
    <border>
      <left/>
      <right/>
      <top/>
      <bottom style="thick">
        <color auto="1"/>
      </bottom>
      <diagonal/>
    </border>
    <border>
      <left/>
      <right/>
      <top style="thin">
        <color theme="0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/>
      <top/>
      <bottom style="medium">
        <color theme="4"/>
      </bottom>
      <diagonal/>
    </border>
    <border>
      <left style="thin">
        <color theme="6" tint="-0.24994659260841701"/>
      </left>
      <right style="thin">
        <color theme="6" tint="-0.24994659260841701"/>
      </right>
      <top style="thin">
        <color theme="6" tint="-0.24994659260841701"/>
      </top>
      <bottom style="thin">
        <color theme="6" tint="-0.24994659260841701"/>
      </bottom>
      <diagonal/>
    </border>
    <border>
      <left/>
      <right/>
      <top style="thin">
        <color theme="6" tint="-0.24994659260841701"/>
      </top>
      <bottom style="thin">
        <color theme="6" tint="-0.24994659260841701"/>
      </bottom>
      <diagonal/>
    </border>
    <border>
      <left/>
      <right style="thin">
        <color theme="0" tint="-0.499984740745262"/>
      </right>
      <top/>
      <bottom style="thin">
        <color theme="8"/>
      </bottom>
      <diagonal/>
    </border>
    <border>
      <left style="thin">
        <color theme="0" tint="-0.499984740745262"/>
      </left>
      <right/>
      <top/>
      <bottom style="thin">
        <color theme="8"/>
      </bottom>
      <diagonal/>
    </border>
    <border>
      <left/>
      <right style="thin">
        <color theme="0" tint="-0.14990691854609822"/>
      </right>
      <top/>
      <bottom style="thin">
        <color theme="0" tint="-0.1498764000366222"/>
      </bottom>
      <diagonal/>
    </border>
    <border>
      <left style="thin">
        <color theme="0" tint="-0.14990691854609822"/>
      </left>
      <right/>
      <top/>
      <bottom style="thin">
        <color theme="0" tint="-0.1498764000366222"/>
      </bottom>
      <diagonal/>
    </border>
    <border>
      <left/>
      <right style="thin">
        <color theme="0" tint="-0.14990691854609822"/>
      </right>
      <top/>
      <bottom style="thin">
        <color theme="0" tint="-0.14990691854609822"/>
      </bottom>
      <diagonal/>
    </border>
    <border>
      <left style="thin">
        <color theme="0" tint="-0.14990691854609822"/>
      </left>
      <right/>
      <top/>
      <bottom style="thin">
        <color theme="0" tint="-0.14990691854609822"/>
      </bottom>
      <diagonal/>
    </border>
    <border>
      <left/>
      <right style="thin">
        <color theme="0" tint="-0.1498458815271462"/>
      </right>
      <top style="thin">
        <color theme="0" tint="-0.14990691854609822"/>
      </top>
      <bottom style="thin">
        <color theme="0" tint="-0.1498764000366222"/>
      </bottom>
      <diagonal/>
    </border>
    <border>
      <left style="thin">
        <color theme="0" tint="-0.1498458815271462"/>
      </left>
      <right/>
      <top style="thin">
        <color theme="0" tint="-0.14990691854609822"/>
      </top>
      <bottom style="thin">
        <color theme="0" tint="-0.1498764000366222"/>
      </bottom>
      <diagonal/>
    </border>
    <border>
      <left/>
      <right style="thin">
        <color theme="0" tint="-0.14990691854609822"/>
      </right>
      <top style="thin">
        <color theme="0" tint="-0.14990691854609822"/>
      </top>
      <bottom style="thin">
        <color theme="0" tint="-0.14990691854609822"/>
      </bottom>
      <diagonal/>
    </border>
    <border>
      <left style="thin">
        <color theme="0" tint="-0.14990691854609822"/>
      </left>
      <right/>
      <top style="thin">
        <color theme="0" tint="-0.14990691854609822"/>
      </top>
      <bottom style="thin">
        <color theme="0" tint="-0.14990691854609822"/>
      </bottom>
      <diagonal/>
    </border>
    <border>
      <left/>
      <right/>
      <top/>
      <bottom style="double">
        <color theme="1" tint="0.14993743705557422"/>
      </bottom>
      <diagonal/>
    </border>
    <border>
      <left style="dotted">
        <color theme="0" tint="-0.34998626667073579"/>
      </left>
      <right style="dotted">
        <color theme="0" tint="-0.34998626667073579"/>
      </right>
      <top/>
      <bottom/>
      <diagonal/>
    </border>
    <border>
      <left style="dotted">
        <color theme="0" tint="-0.34998626667073579"/>
      </left>
      <right style="dotted">
        <color theme="0" tint="-0.34998626667073579"/>
      </right>
      <top/>
      <bottom style="thick">
        <color theme="4"/>
      </bottom>
      <diagonal/>
    </border>
    <border>
      <left/>
      <right style="dotted">
        <color theme="0" tint="-0.34998626667073579"/>
      </right>
      <top/>
      <bottom style="medium">
        <color theme="4" tint="0.39991454817346722"/>
      </bottom>
      <diagonal/>
    </border>
    <border>
      <left style="dotted">
        <color theme="0" tint="-0.34998626667073579"/>
      </left>
      <right style="dotted">
        <color theme="0" tint="-0.34998626667073579"/>
      </right>
      <top/>
      <bottom style="medium">
        <color theme="4" tint="0.39991454817346722"/>
      </bottom>
      <diagonal/>
    </border>
    <border>
      <left/>
      <right/>
      <top/>
      <bottom style="thick">
        <color theme="0"/>
      </bottom>
      <diagonal/>
    </border>
    <border>
      <left style="dotted">
        <color theme="0" tint="-0.34998626667073579"/>
      </left>
      <right style="dotted">
        <color theme="0" tint="-0.34998626667073579"/>
      </right>
      <top style="thin">
        <color theme="0"/>
      </top>
      <bottom style="thin">
        <color theme="0"/>
      </bottom>
      <diagonal/>
    </border>
    <border>
      <left style="dotted">
        <color theme="0" tint="-0.34998626667073579"/>
      </left>
      <right/>
      <top style="thin">
        <color theme="0"/>
      </top>
      <bottom style="thin">
        <color theme="0"/>
      </bottom>
      <diagonal/>
    </border>
    <border>
      <left style="thin">
        <color rgb="FF9AE6EC"/>
      </left>
      <right style="thin">
        <color rgb="FF9AE6EC"/>
      </right>
      <top style="thin">
        <color rgb="FF9AE6EC"/>
      </top>
      <bottom style="thin">
        <color rgb="FF9AE6EC"/>
      </bottom>
      <diagonal/>
    </border>
    <border>
      <left style="medium">
        <color rgb="FF1E909E"/>
      </left>
      <right/>
      <top style="medium">
        <color rgb="FF1E909E"/>
      </top>
      <bottom/>
      <diagonal/>
    </border>
    <border>
      <left/>
      <right style="medium">
        <color rgb="FF1E909E"/>
      </right>
      <top style="medium">
        <color rgb="FF1E909E"/>
      </top>
      <bottom/>
      <diagonal/>
    </border>
    <border>
      <left style="medium">
        <color rgb="FF1E909E"/>
      </left>
      <right/>
      <top/>
      <bottom/>
      <diagonal/>
    </border>
    <border>
      <left/>
      <right style="medium">
        <color rgb="FF1E909E"/>
      </right>
      <top/>
      <bottom/>
      <diagonal/>
    </border>
    <border>
      <left style="medium">
        <color rgb="FF1E909E"/>
      </left>
      <right/>
      <top style="thin">
        <color rgb="FF26B8CA"/>
      </top>
      <bottom style="thin">
        <color rgb="FF26B8CA"/>
      </bottom>
      <diagonal/>
    </border>
    <border>
      <left/>
      <right style="medium">
        <color rgb="FF1E909E"/>
      </right>
      <top style="thin">
        <color rgb="FF26B8CA"/>
      </top>
      <bottom style="thin">
        <color rgb="FF26B8CA"/>
      </bottom>
      <diagonal/>
    </border>
    <border>
      <left style="medium">
        <color rgb="FF1E909E"/>
      </left>
      <right/>
      <top/>
      <bottom style="medium">
        <color rgb="FF1E909E"/>
      </bottom>
      <diagonal/>
    </border>
    <border>
      <left/>
      <right style="medium">
        <color rgb="FF1E909E"/>
      </right>
      <top/>
      <bottom style="medium">
        <color rgb="FF1E909E"/>
      </bottom>
      <diagonal/>
    </border>
    <border>
      <left/>
      <right/>
      <top/>
      <bottom style="medium">
        <color theme="4" tint="-0.24994659260841701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1454817346722"/>
      </bottom>
      <diagonal/>
    </border>
    <border>
      <left/>
      <right/>
      <top/>
      <bottom style="dotted">
        <color theme="3"/>
      </bottom>
      <diagonal/>
    </border>
  </borders>
  <cellStyleXfs count="27">
    <xf numFmtId="0" fontId="0" fillId="0" borderId="0"/>
    <xf numFmtId="0" fontId="70" fillId="0" borderId="52" applyNumberFormat="0" applyFill="0" applyAlignment="0" applyProtection="0"/>
    <xf numFmtId="0" fontId="18" fillId="0" borderId="53" applyNumberFormat="0" applyFill="0" applyBorder="0" applyAlignment="0" applyProtection="0"/>
    <xf numFmtId="0" fontId="60" fillId="0" borderId="54" applyNumberFormat="0" applyFill="0" applyBorder="0" applyAlignment="0" applyProtection="0"/>
    <xf numFmtId="177" fontId="95" fillId="0" borderId="36">
      <alignment horizontal="right" vertical="center" wrapText="1" indent="1"/>
    </xf>
    <xf numFmtId="178" fontId="96" fillId="24" borderId="39" applyFont="0" applyAlignment="0">
      <alignment vertical="center"/>
    </xf>
    <xf numFmtId="9" fontId="20" fillId="0" borderId="0" applyFill="0" applyBorder="0" applyProtection="0">
      <alignment horizontal="right"/>
    </xf>
    <xf numFmtId="0" fontId="97" fillId="0" borderId="0" applyNumberFormat="0" applyFill="0" applyBorder="0" applyAlignment="0" applyProtection="0"/>
    <xf numFmtId="0" fontId="98" fillId="0" borderId="55" applyProtection="0">
      <alignment vertical="center"/>
    </xf>
    <xf numFmtId="0" fontId="14" fillId="0" borderId="13" applyNumberFormat="0" applyFill="0" applyAlignment="0" applyProtection="0"/>
    <xf numFmtId="0" fontId="35" fillId="0" borderId="0" applyFill="0" applyProtection="0">
      <alignment horizontal="right" vertical="center"/>
    </xf>
    <xf numFmtId="0" fontId="34" fillId="0" borderId="0" applyFill="0" applyProtection="0">
      <alignment horizontal="right" vertical="center"/>
    </xf>
    <xf numFmtId="0" fontId="99" fillId="0" borderId="0" applyNumberFormat="0" applyFill="0" applyBorder="0" applyAlignment="0" applyProtection="0"/>
    <xf numFmtId="0" fontId="36" fillId="0" borderId="0" applyNumberFormat="0" applyFill="0" applyBorder="0" applyProtection="0">
      <alignment vertical="center"/>
    </xf>
    <xf numFmtId="0" fontId="19" fillId="0" borderId="0">
      <alignment horizontal="right" wrapText="1" indent="1"/>
    </xf>
    <xf numFmtId="0" fontId="100" fillId="0" borderId="0">
      <alignment vertical="center"/>
    </xf>
    <xf numFmtId="0" fontId="12" fillId="0" borderId="0"/>
    <xf numFmtId="0" fontId="19" fillId="0" borderId="0"/>
    <xf numFmtId="0" fontId="1" fillId="0" borderId="0">
      <alignment vertical="center" wrapText="1"/>
    </xf>
    <xf numFmtId="179" fontId="101" fillId="0" borderId="0" applyFont="0" applyFill="0" applyBorder="0" applyAlignment="0" applyProtection="0"/>
    <xf numFmtId="180" fontId="20" fillId="0" borderId="0" applyFill="0" applyBorder="0" applyAlignment="0" applyProtection="0"/>
    <xf numFmtId="0" fontId="12" fillId="9" borderId="0" applyNumberFormat="0" applyBorder="0" applyAlignment="0" applyProtection="0"/>
    <xf numFmtId="0" fontId="12" fillId="11" borderId="0" applyNumberFormat="0" applyBorder="0" applyAlignment="0" applyProtection="0"/>
    <xf numFmtId="14" fontId="101" fillId="0" borderId="0" applyFont="0" applyFill="0" applyBorder="0" applyAlignment="0" applyProtection="0"/>
    <xf numFmtId="180" fontId="19" fillId="27" borderId="19" applyNumberFormat="0" applyFont="0" applyAlignment="0">
      <alignment horizontal="center"/>
    </xf>
    <xf numFmtId="180" fontId="20" fillId="13" borderId="19" applyNumberFormat="0" applyFont="0" applyAlignment="0"/>
    <xf numFmtId="180" fontId="20" fillId="28" borderId="19" applyNumberFormat="0" applyFont="0" applyAlignment="0"/>
  </cellStyleXfs>
  <cellXfs count="388">
    <xf numFmtId="0" fontId="0" fillId="0" borderId="0" xfId="0"/>
    <xf numFmtId="0" fontId="1" fillId="0" borderId="0" xfId="18">
      <alignment vertical="center" wrapText="1"/>
    </xf>
    <xf numFmtId="0" fontId="4" fillId="0" borderId="2" xfId="18" applyFont="1" applyBorder="1" applyAlignment="1" applyProtection="1">
      <alignment horizontal="center" wrapText="1"/>
      <protection locked="0"/>
    </xf>
    <xf numFmtId="0" fontId="4" fillId="0" borderId="3" xfId="18" applyFont="1" applyBorder="1" applyAlignment="1" applyProtection="1">
      <alignment horizontal="center" wrapText="1"/>
      <protection locked="0"/>
    </xf>
    <xf numFmtId="0" fontId="1" fillId="0" borderId="4" xfId="18" applyBorder="1" applyAlignment="1" applyProtection="1">
      <alignment wrapText="1"/>
      <protection locked="0"/>
    </xf>
    <xf numFmtId="49" fontId="1" fillId="0" borderId="5" xfId="18" applyNumberFormat="1" applyBorder="1" applyAlignment="1" applyProtection="1">
      <alignment horizontal="right"/>
      <protection locked="0"/>
    </xf>
    <xf numFmtId="49" fontId="1" fillId="0" borderId="4" xfId="18" applyNumberFormat="1" applyBorder="1" applyAlignment="1" applyProtection="1">
      <alignment horizontal="center" wrapText="1"/>
      <protection locked="0"/>
    </xf>
    <xf numFmtId="181" fontId="1" fillId="0" borderId="5" xfId="18" applyNumberFormat="1" applyBorder="1" applyAlignment="1" applyProtection="1">
      <alignment horizontal="right"/>
      <protection locked="0"/>
    </xf>
    <xf numFmtId="49" fontId="1" fillId="0" borderId="4" xfId="18" applyNumberFormat="1" applyBorder="1" applyAlignment="1" applyProtection="1">
      <alignment horizontal="right"/>
      <protection locked="0"/>
    </xf>
    <xf numFmtId="49" fontId="1" fillId="0" borderId="4" xfId="18" applyNumberFormat="1" applyBorder="1" applyAlignment="1" applyProtection="1">
      <alignment horizontal="center"/>
      <protection locked="0"/>
    </xf>
    <xf numFmtId="181" fontId="1" fillId="0" borderId="4" xfId="18" applyNumberFormat="1" applyBorder="1" applyAlignment="1" applyProtection="1">
      <alignment horizontal="right"/>
      <protection locked="0"/>
    </xf>
    <xf numFmtId="0" fontId="1" fillId="0" borderId="0" xfId="18" applyAlignment="1" applyProtection="1">
      <protection locked="0"/>
    </xf>
    <xf numFmtId="0" fontId="5" fillId="0" borderId="4" xfId="18" applyFont="1" applyBorder="1" applyAlignment="1" applyProtection="1">
      <alignment wrapText="1"/>
      <protection locked="0"/>
    </xf>
    <xf numFmtId="0" fontId="8" fillId="4" borderId="6" xfId="18" applyFont="1" applyFill="1" applyBorder="1" applyAlignment="1" applyProtection="1">
      <alignment horizontal="center" vertical="center" wrapText="1"/>
      <protection locked="0"/>
    </xf>
    <xf numFmtId="0" fontId="8" fillId="4" borderId="7" xfId="18" applyFont="1" applyFill="1" applyBorder="1" applyAlignment="1" applyProtection="1">
      <alignment horizontal="center" vertical="center" wrapText="1"/>
      <protection locked="0"/>
    </xf>
    <xf numFmtId="0" fontId="5" fillId="5" borderId="8" xfId="18" applyFont="1" applyFill="1" applyBorder="1" applyAlignment="1" applyProtection="1">
      <alignment horizontal="center" vertical="center" wrapText="1"/>
      <protection locked="0"/>
    </xf>
    <xf numFmtId="49" fontId="9" fillId="5" borderId="8" xfId="18" applyNumberFormat="1" applyFont="1" applyFill="1" applyBorder="1" applyAlignment="1" applyProtection="1">
      <alignment horizontal="right" vertical="center"/>
      <protection locked="0"/>
    </xf>
    <xf numFmtId="49" fontId="5" fillId="5" borderId="8" xfId="18" applyNumberFormat="1" applyFont="1" applyFill="1" applyBorder="1" applyAlignment="1" applyProtection="1">
      <alignment horizontal="center" vertical="center"/>
      <protection locked="0"/>
    </xf>
    <xf numFmtId="181" fontId="9" fillId="5" borderId="8" xfId="18" applyNumberFormat="1" applyFont="1" applyFill="1" applyBorder="1" applyAlignment="1" applyProtection="1">
      <alignment horizontal="right" vertical="center"/>
      <protection locked="0"/>
    </xf>
    <xf numFmtId="0" fontId="5" fillId="0" borderId="9" xfId="18" applyFont="1" applyBorder="1" applyAlignment="1" applyProtection="1">
      <alignment horizontal="center" vertical="center" wrapText="1"/>
      <protection locked="0"/>
    </xf>
    <xf numFmtId="49" fontId="9" fillId="0" borderId="9" xfId="18" applyNumberFormat="1" applyFont="1" applyBorder="1" applyAlignment="1" applyProtection="1">
      <alignment horizontal="right" vertical="center"/>
      <protection locked="0"/>
    </xf>
    <xf numFmtId="49" fontId="9" fillId="0" borderId="9" xfId="18" applyNumberFormat="1" applyFont="1" applyBorder="1" applyAlignment="1" applyProtection="1">
      <alignment horizontal="center" vertical="center"/>
      <protection locked="0"/>
    </xf>
    <xf numFmtId="181" fontId="9" fillId="0" borderId="9" xfId="18" applyNumberFormat="1" applyFont="1" applyBorder="1" applyAlignment="1" applyProtection="1">
      <alignment horizontal="right" vertical="center"/>
      <protection locked="0"/>
    </xf>
    <xf numFmtId="0" fontId="9" fillId="5" borderId="9" xfId="18" applyFont="1" applyFill="1" applyBorder="1" applyAlignment="1" applyProtection="1">
      <alignment horizontal="center" vertical="center" wrapText="1"/>
      <protection locked="0"/>
    </xf>
    <xf numFmtId="49" fontId="9" fillId="5" borderId="9" xfId="18" applyNumberFormat="1" applyFont="1" applyFill="1" applyBorder="1" applyAlignment="1" applyProtection="1">
      <alignment horizontal="right" vertical="center"/>
      <protection locked="0"/>
    </xf>
    <xf numFmtId="49" fontId="9" fillId="5" borderId="9" xfId="18" applyNumberFormat="1" applyFont="1" applyFill="1" applyBorder="1" applyAlignment="1" applyProtection="1">
      <alignment horizontal="center" vertical="center"/>
      <protection locked="0"/>
    </xf>
    <xf numFmtId="181" fontId="9" fillId="5" borderId="9" xfId="18" applyNumberFormat="1" applyFont="1" applyFill="1" applyBorder="1" applyAlignment="1" applyProtection="1">
      <alignment horizontal="right" vertical="center"/>
      <protection locked="0"/>
    </xf>
    <xf numFmtId="0" fontId="4" fillId="0" borderId="10" xfId="18" applyFont="1" applyBorder="1" applyAlignment="1" applyProtection="1">
      <alignment horizontal="center" wrapText="1"/>
      <protection locked="0"/>
    </xf>
    <xf numFmtId="182" fontId="1" fillId="0" borderId="4" xfId="18" applyNumberFormat="1" applyBorder="1" applyAlignment="1" applyProtection="1">
      <alignment horizontal="right"/>
      <protection locked="0"/>
    </xf>
    <xf numFmtId="0" fontId="1" fillId="0" borderId="5" xfId="18" applyBorder="1" applyAlignment="1" applyProtection="1">
      <alignment horizontal="right"/>
      <protection locked="0"/>
    </xf>
    <xf numFmtId="182" fontId="1" fillId="6" borderId="4" xfId="18" applyNumberFormat="1" applyFill="1" applyBorder="1" applyAlignment="1">
      <alignment horizontal="right"/>
    </xf>
    <xf numFmtId="0" fontId="1" fillId="0" borderId="4" xfId="18" applyBorder="1" applyAlignment="1" applyProtection="1">
      <alignment horizontal="right"/>
      <protection locked="0"/>
    </xf>
    <xf numFmtId="182" fontId="1" fillId="0" borderId="5" xfId="18" applyNumberFormat="1" applyBorder="1" applyAlignment="1" applyProtection="1">
      <alignment horizontal="right"/>
      <protection locked="0"/>
    </xf>
    <xf numFmtId="0" fontId="8" fillId="4" borderId="11" xfId="18" applyFont="1" applyFill="1" applyBorder="1" applyAlignment="1" applyProtection="1">
      <alignment horizontal="center" vertical="center" wrapText="1"/>
      <protection locked="0"/>
    </xf>
    <xf numFmtId="182" fontId="9" fillId="5" borderId="8" xfId="18" applyNumberFormat="1" applyFont="1" applyFill="1" applyBorder="1" applyAlignment="1" applyProtection="1">
      <alignment horizontal="right" vertical="center"/>
      <protection locked="0"/>
    </xf>
    <xf numFmtId="182" fontId="9" fillId="7" borderId="8" xfId="18" applyNumberFormat="1" applyFont="1" applyFill="1" applyBorder="1" applyAlignment="1">
      <alignment horizontal="right" vertical="center"/>
    </xf>
    <xf numFmtId="182" fontId="9" fillId="0" borderId="9" xfId="18" applyNumberFormat="1" applyFont="1" applyBorder="1" applyAlignment="1" applyProtection="1">
      <alignment horizontal="right" vertical="center"/>
      <protection locked="0"/>
    </xf>
    <xf numFmtId="182" fontId="9" fillId="7" borderId="9" xfId="18" applyNumberFormat="1" applyFont="1" applyFill="1" applyBorder="1" applyAlignment="1">
      <alignment horizontal="right" vertical="center"/>
    </xf>
    <xf numFmtId="182" fontId="9" fillId="5" borderId="9" xfId="18" applyNumberFormat="1" applyFont="1" applyFill="1" applyBorder="1" applyAlignment="1" applyProtection="1">
      <alignment horizontal="right" vertical="center"/>
      <protection locked="0"/>
    </xf>
    <xf numFmtId="0" fontId="10" fillId="0" borderId="12" xfId="16" applyFont="1" applyBorder="1"/>
    <xf numFmtId="0" fontId="11" fillId="0" borderId="0" xfId="16" applyFont="1"/>
    <xf numFmtId="0" fontId="12" fillId="0" borderId="0" xfId="16"/>
    <xf numFmtId="0" fontId="14" fillId="0" borderId="13" xfId="9" applyAlignment="1">
      <alignment horizontal="center"/>
    </xf>
    <xf numFmtId="0" fontId="14" fillId="0" borderId="13" xfId="9" applyNumberFormat="1" applyAlignment="1">
      <alignment horizontal="center"/>
    </xf>
    <xf numFmtId="0" fontId="15" fillId="0" borderId="0" xfId="16" applyFont="1" applyAlignment="1">
      <alignment wrapText="1"/>
    </xf>
    <xf numFmtId="0" fontId="10" fillId="0" borderId="0" xfId="16" applyFont="1"/>
    <xf numFmtId="0" fontId="16" fillId="0" borderId="14" xfId="16" applyFont="1" applyBorder="1"/>
    <xf numFmtId="0" fontId="17" fillId="8" borderId="12" xfId="21" applyFont="1" applyFill="1" applyBorder="1" applyAlignment="1">
      <alignment wrapText="1"/>
    </xf>
    <xf numFmtId="0" fontId="17" fillId="8" borderId="12" xfId="21" applyNumberFormat="1" applyFont="1" applyFill="1" applyBorder="1" applyAlignment="1">
      <alignment horizontal="center"/>
    </xf>
    <xf numFmtId="0" fontId="0" fillId="9" borderId="15" xfId="21" applyFont="1" applyBorder="1" applyAlignment="1">
      <alignment wrapText="1"/>
    </xf>
    <xf numFmtId="176" fontId="0" fillId="9" borderId="15" xfId="21" applyNumberFormat="1" applyFont="1" applyBorder="1"/>
    <xf numFmtId="176" fontId="18" fillId="9" borderId="15" xfId="21" applyNumberFormat="1" applyFont="1" applyBorder="1"/>
    <xf numFmtId="0" fontId="0" fillId="9" borderId="16" xfId="21" applyFont="1" applyBorder="1" applyAlignment="1">
      <alignment wrapText="1"/>
    </xf>
    <xf numFmtId="176" fontId="0" fillId="9" borderId="16" xfId="21" applyNumberFormat="1" applyFont="1" applyBorder="1"/>
    <xf numFmtId="176" fontId="18" fillId="9" borderId="16" xfId="21" applyNumberFormat="1" applyFont="1" applyBorder="1"/>
    <xf numFmtId="0" fontId="17" fillId="8" borderId="12" xfId="0" applyFont="1" applyFill="1" applyBorder="1" applyAlignment="1">
      <alignment wrapText="1"/>
    </xf>
    <xf numFmtId="176" fontId="17" fillId="8" borderId="12" xfId="0" applyNumberFormat="1" applyFont="1" applyFill="1" applyBorder="1"/>
    <xf numFmtId="0" fontId="12" fillId="0" borderId="0" xfId="16" applyAlignment="1">
      <alignment wrapText="1"/>
    </xf>
    <xf numFmtId="0" fontId="14" fillId="0" borderId="13" xfId="9" applyAlignment="1">
      <alignment wrapText="1"/>
    </xf>
    <xf numFmtId="176" fontId="14" fillId="0" borderId="13" xfId="9" applyNumberFormat="1"/>
    <xf numFmtId="0" fontId="14" fillId="0" borderId="17" xfId="9" applyBorder="1" applyAlignment="1"/>
    <xf numFmtId="0" fontId="14" fillId="0" borderId="17" xfId="9" applyNumberFormat="1" applyBorder="1" applyAlignment="1">
      <alignment horizontal="center"/>
    </xf>
    <xf numFmtId="0" fontId="17" fillId="10" borderId="12" xfId="22" applyFont="1" applyFill="1" applyBorder="1" applyAlignment="1">
      <alignment wrapText="1"/>
    </xf>
    <xf numFmtId="0" fontId="17" fillId="10" borderId="12" xfId="22" applyNumberFormat="1" applyFont="1" applyFill="1" applyBorder="1" applyAlignment="1">
      <alignment horizontal="center"/>
    </xf>
    <xf numFmtId="0" fontId="0" fillId="11" borderId="15" xfId="22" applyFont="1" applyBorder="1" applyAlignment="1">
      <alignment wrapText="1"/>
    </xf>
    <xf numFmtId="176" fontId="0" fillId="11" borderId="15" xfId="22" applyNumberFormat="1" applyFont="1" applyBorder="1"/>
    <xf numFmtId="176" fontId="18" fillId="11" borderId="15" xfId="22" applyNumberFormat="1" applyFont="1" applyBorder="1"/>
    <xf numFmtId="0" fontId="0" fillId="11" borderId="16" xfId="22" applyFont="1" applyBorder="1" applyAlignment="1">
      <alignment wrapText="1"/>
    </xf>
    <xf numFmtId="176" fontId="0" fillId="11" borderId="16" xfId="22" applyNumberFormat="1" applyFont="1" applyBorder="1"/>
    <xf numFmtId="176" fontId="18" fillId="11" borderId="16" xfId="22" applyNumberFormat="1" applyFont="1" applyBorder="1"/>
    <xf numFmtId="0" fontId="17" fillId="10" borderId="12" xfId="0" applyFont="1" applyFill="1" applyBorder="1" applyAlignment="1">
      <alignment wrapText="1"/>
    </xf>
    <xf numFmtId="176" fontId="17" fillId="10" borderId="12" xfId="0" applyNumberFormat="1" applyFont="1" applyFill="1" applyBorder="1"/>
    <xf numFmtId="0" fontId="14" fillId="0" borderId="17" xfId="9" applyBorder="1" applyAlignment="1">
      <alignment horizontal="left" wrapText="1"/>
    </xf>
    <xf numFmtId="176" fontId="14" fillId="0" borderId="17" xfId="9" applyNumberFormat="1" applyBorder="1"/>
    <xf numFmtId="0" fontId="14" fillId="0" borderId="0" xfId="16" applyFont="1" applyAlignment="1">
      <alignment horizontal="right"/>
    </xf>
    <xf numFmtId="176" fontId="14" fillId="0" borderId="0" xfId="16" applyNumberFormat="1" applyFont="1"/>
    <xf numFmtId="0" fontId="19" fillId="0" borderId="0" xfId="17" applyAlignment="1">
      <alignment horizontal="left" vertical="center" indent="1"/>
    </xf>
    <xf numFmtId="0" fontId="19" fillId="0" borderId="0" xfId="17" applyAlignment="1">
      <alignment vertical="center"/>
    </xf>
    <xf numFmtId="0" fontId="19" fillId="0" borderId="0" xfId="17"/>
    <xf numFmtId="0" fontId="20" fillId="0" borderId="0" xfId="17" applyFont="1"/>
    <xf numFmtId="0" fontId="21" fillId="0" borderId="0" xfId="10" applyFont="1" applyFill="1" applyAlignment="1"/>
    <xf numFmtId="0" fontId="22" fillId="0" borderId="0" xfId="10" applyFont="1" applyFill="1" applyAlignment="1">
      <alignment horizontal="left" vertical="top" indent="1"/>
    </xf>
    <xf numFmtId="0" fontId="20" fillId="0" borderId="0" xfId="17" applyFont="1" applyAlignment="1">
      <alignment horizontal="left"/>
    </xf>
    <xf numFmtId="0" fontId="23" fillId="0" borderId="18" xfId="13" applyFont="1" applyFill="1" applyBorder="1" applyAlignment="1">
      <alignment vertical="top"/>
    </xf>
    <xf numFmtId="0" fontId="19" fillId="0" borderId="18" xfId="17" applyBorder="1"/>
    <xf numFmtId="0" fontId="24" fillId="0" borderId="18" xfId="17" applyFont="1" applyBorder="1" applyAlignment="1">
      <alignment vertical="center"/>
    </xf>
    <xf numFmtId="0" fontId="24" fillId="0" borderId="0" xfId="17" applyFont="1" applyAlignment="1">
      <alignment vertical="center"/>
    </xf>
    <xf numFmtId="0" fontId="25" fillId="0" borderId="0" xfId="17" applyFont="1" applyAlignment="1">
      <alignment horizontal="left" vertical="center" indent="1"/>
    </xf>
    <xf numFmtId="0" fontId="11" fillId="0" borderId="0" xfId="17" applyFont="1" applyAlignment="1">
      <alignment horizontal="center" vertical="center"/>
    </xf>
    <xf numFmtId="0" fontId="12" fillId="0" borderId="0" xfId="14" applyFont="1" applyAlignment="1">
      <alignment horizontal="left" vertical="center" wrapText="1" indent="1"/>
    </xf>
    <xf numFmtId="0" fontId="19" fillId="12" borderId="0" xfId="26" applyNumberFormat="1" applyFont="1" applyFill="1" applyBorder="1" applyAlignment="1">
      <alignment horizontal="center" vertical="center"/>
    </xf>
    <xf numFmtId="183" fontId="12" fillId="0" borderId="0" xfId="20" applyNumberFormat="1" applyFont="1" applyFill="1" applyBorder="1" applyAlignment="1">
      <alignment horizontal="center" vertical="center"/>
    </xf>
    <xf numFmtId="0" fontId="19" fillId="12" borderId="19" xfId="26" applyNumberFormat="1" applyFont="1" applyFill="1" applyAlignment="1">
      <alignment horizontal="center" vertical="center"/>
    </xf>
    <xf numFmtId="0" fontId="26" fillId="0" borderId="0" xfId="17" applyFont="1" applyAlignment="1">
      <alignment horizontal="left" vertical="center" indent="1"/>
    </xf>
    <xf numFmtId="183" fontId="12" fillId="0" borderId="0" xfId="17" applyNumberFormat="1" applyFont="1" applyAlignment="1">
      <alignment horizontal="center" vertical="center"/>
    </xf>
    <xf numFmtId="0" fontId="25" fillId="0" borderId="0" xfId="17" applyFont="1" applyAlignment="1">
      <alignment horizontal="right" vertical="center" indent="1"/>
    </xf>
    <xf numFmtId="183" fontId="11" fillId="0" borderId="0" xfId="17" applyNumberFormat="1" applyFont="1" applyAlignment="1">
      <alignment horizontal="center" vertical="center"/>
    </xf>
    <xf numFmtId="0" fontId="19" fillId="0" borderId="0" xfId="17" applyAlignment="1">
      <alignment horizontal="center"/>
    </xf>
    <xf numFmtId="183" fontId="27" fillId="12" borderId="0" xfId="20" applyNumberFormat="1" applyFont="1" applyFill="1" applyBorder="1" applyAlignment="1">
      <alignment horizontal="center" vertical="center"/>
    </xf>
    <xf numFmtId="183" fontId="27" fillId="12" borderId="19" xfId="20" applyNumberFormat="1" applyFont="1" applyFill="1" applyBorder="1" applyAlignment="1">
      <alignment horizontal="center" vertical="center"/>
    </xf>
    <xf numFmtId="183" fontId="27" fillId="12" borderId="20" xfId="20" applyNumberFormat="1" applyFont="1" applyFill="1" applyBorder="1" applyAlignment="1">
      <alignment horizontal="center" vertical="center"/>
    </xf>
    <xf numFmtId="183" fontId="12" fillId="12" borderId="0" xfId="17" applyNumberFormat="1" applyFont="1" applyFill="1" applyAlignment="1">
      <alignment horizontal="center" vertical="center"/>
    </xf>
    <xf numFmtId="184" fontId="19" fillId="0" borderId="0" xfId="17" applyNumberFormat="1"/>
    <xf numFmtId="0" fontId="28" fillId="0" borderId="0" xfId="17" applyFont="1" applyAlignment="1">
      <alignment horizontal="left" vertical="center" indent="1"/>
    </xf>
    <xf numFmtId="0" fontId="28" fillId="0" borderId="0" xfId="17" applyFont="1" applyAlignment="1">
      <alignment horizontal="right" vertical="center"/>
    </xf>
    <xf numFmtId="0" fontId="29" fillId="0" borderId="18" xfId="17" applyFont="1" applyBorder="1"/>
    <xf numFmtId="0" fontId="29" fillId="0" borderId="0" xfId="17" applyFont="1"/>
    <xf numFmtId="9" fontId="12" fillId="0" borderId="0" xfId="6" applyFont="1" applyFill="1" applyBorder="1" applyAlignment="1">
      <alignment horizontal="center" vertical="center"/>
    </xf>
    <xf numFmtId="9" fontId="27" fillId="12" borderId="21" xfId="6" applyFont="1" applyFill="1" applyBorder="1" applyAlignment="1">
      <alignment horizontal="center" vertical="center"/>
    </xf>
    <xf numFmtId="9" fontId="27" fillId="12" borderId="20" xfId="6" applyFont="1" applyFill="1" applyBorder="1" applyAlignment="1">
      <alignment horizontal="center" vertical="center"/>
    </xf>
    <xf numFmtId="9" fontId="12" fillId="0" borderId="0" xfId="17" applyNumberFormat="1" applyFont="1" applyAlignment="1">
      <alignment horizontal="center" vertical="center"/>
    </xf>
    <xf numFmtId="9" fontId="27" fillId="12" borderId="19" xfId="6" applyFont="1" applyFill="1" applyBorder="1" applyAlignment="1">
      <alignment horizontal="center" vertical="center"/>
    </xf>
    <xf numFmtId="9" fontId="11" fillId="0" borderId="0" xfId="17" applyNumberFormat="1" applyFont="1" applyAlignment="1">
      <alignment horizontal="center" vertical="center"/>
    </xf>
    <xf numFmtId="0" fontId="30" fillId="0" borderId="0" xfId="17" applyFont="1" applyAlignment="1">
      <alignment horizontal="left" vertical="center" indent="1"/>
    </xf>
    <xf numFmtId="0" fontId="31" fillId="0" borderId="0" xfId="17" applyFont="1" applyAlignment="1">
      <alignment horizontal="left" vertical="center" indent="1"/>
    </xf>
    <xf numFmtId="0" fontId="30" fillId="0" borderId="0" xfId="17" applyFont="1" applyAlignment="1">
      <alignment horizontal="right" vertical="center"/>
    </xf>
    <xf numFmtId="0" fontId="31" fillId="0" borderId="0" xfId="17" applyFont="1" applyAlignment="1">
      <alignment horizontal="right" vertical="center"/>
    </xf>
    <xf numFmtId="0" fontId="32" fillId="0" borderId="0" xfId="8" applyFont="1" applyBorder="1" applyAlignment="1">
      <alignment horizontal="right" vertical="center" indent="1"/>
    </xf>
    <xf numFmtId="0" fontId="33" fillId="0" borderId="18" xfId="17" applyFont="1" applyBorder="1"/>
    <xf numFmtId="0" fontId="34" fillId="0" borderId="0" xfId="11">
      <alignment horizontal="right" vertical="center"/>
    </xf>
    <xf numFmtId="9" fontId="27" fillId="12" borderId="0" xfId="6" applyFont="1" applyFill="1" applyBorder="1" applyAlignment="1">
      <alignment horizontal="center" vertical="center"/>
    </xf>
    <xf numFmtId="0" fontId="12" fillId="0" borderId="0" xfId="17" applyFont="1"/>
    <xf numFmtId="0" fontId="19" fillId="0" borderId="0" xfId="17" applyAlignment="1">
      <alignment horizontal="left" indent="1"/>
    </xf>
    <xf numFmtId="0" fontId="21" fillId="0" borderId="0" xfId="10" applyFont="1" applyFill="1" applyAlignment="1">
      <alignment horizontal="left"/>
    </xf>
    <xf numFmtId="0" fontId="23" fillId="0" borderId="0" xfId="13" applyFont="1" applyFill="1" applyBorder="1" applyAlignment="1">
      <alignment horizontal="left" vertical="top"/>
    </xf>
    <xf numFmtId="0" fontId="19" fillId="13" borderId="0" xfId="25" applyNumberFormat="1" applyFont="1" applyBorder="1" applyAlignment="1">
      <alignment horizontal="left" vertical="center" indent="1"/>
    </xf>
    <xf numFmtId="0" fontId="19" fillId="13" borderId="19" xfId="25" applyNumberFormat="1" applyFont="1" applyAlignment="1">
      <alignment horizontal="left" vertical="center" indent="1"/>
    </xf>
    <xf numFmtId="0" fontId="19" fillId="13" borderId="20" xfId="25" applyNumberFormat="1" applyFont="1" applyBorder="1" applyAlignment="1">
      <alignment horizontal="left" vertical="center" indent="1"/>
    </xf>
    <xf numFmtId="0" fontId="19" fillId="13" borderId="0" xfId="17" applyFill="1" applyAlignment="1">
      <alignment horizontal="left" vertical="center" indent="1"/>
    </xf>
    <xf numFmtId="183" fontId="12" fillId="13" borderId="0" xfId="25" applyNumberFormat="1" applyFont="1" applyBorder="1" applyAlignment="1">
      <alignment horizontal="center" vertical="center"/>
    </xf>
    <xf numFmtId="183" fontId="12" fillId="13" borderId="19" xfId="25" applyNumberFormat="1" applyFont="1" applyAlignment="1">
      <alignment horizontal="center" vertical="center"/>
    </xf>
    <xf numFmtId="183" fontId="12" fillId="13" borderId="20" xfId="25" applyNumberFormat="1" applyFont="1" applyBorder="1" applyAlignment="1">
      <alignment horizontal="center" vertical="center"/>
    </xf>
    <xf numFmtId="183" fontId="12" fillId="13" borderId="0" xfId="17" applyNumberFormat="1" applyFont="1" applyFill="1" applyAlignment="1">
      <alignment horizontal="center" vertical="center"/>
    </xf>
    <xf numFmtId="9" fontId="12" fillId="13" borderId="0" xfId="25" applyNumberFormat="1" applyFont="1" applyBorder="1" applyAlignment="1">
      <alignment horizontal="center" vertical="center"/>
    </xf>
    <xf numFmtId="9" fontId="12" fillId="13" borderId="19" xfId="25" applyNumberFormat="1" applyFont="1" applyAlignment="1">
      <alignment horizontal="center" vertical="center"/>
    </xf>
    <xf numFmtId="9" fontId="12" fillId="13" borderId="20" xfId="25" applyNumberFormat="1" applyFont="1" applyBorder="1" applyAlignment="1">
      <alignment horizontal="center" vertical="center"/>
    </xf>
    <xf numFmtId="9" fontId="12" fillId="13" borderId="0" xfId="17" applyNumberFormat="1" applyFont="1" applyFill="1" applyAlignment="1">
      <alignment horizontal="center" vertical="center"/>
    </xf>
    <xf numFmtId="0" fontId="35" fillId="0" borderId="0" xfId="10">
      <alignment horizontal="right" vertical="center"/>
    </xf>
    <xf numFmtId="0" fontId="34" fillId="0" borderId="18" xfId="11" applyBorder="1">
      <alignment horizontal="right" vertical="center"/>
    </xf>
    <xf numFmtId="0" fontId="23" fillId="0" borderId="18" xfId="13" applyFont="1" applyBorder="1" applyAlignment="1">
      <alignment vertical="top"/>
    </xf>
    <xf numFmtId="0" fontId="36" fillId="0" borderId="0" xfId="13" applyBorder="1">
      <alignment vertical="center"/>
    </xf>
    <xf numFmtId="0" fontId="37" fillId="14" borderId="0" xfId="17" applyFont="1" applyFill="1" applyAlignment="1">
      <alignment horizontal="left" vertical="center" indent="1"/>
    </xf>
    <xf numFmtId="0" fontId="12" fillId="14" borderId="0" xfId="17" applyFont="1" applyFill="1" applyAlignment="1">
      <alignment horizontal="center" vertical="center"/>
    </xf>
    <xf numFmtId="0" fontId="12" fillId="14" borderId="0" xfId="24" applyNumberFormat="1" applyFont="1" applyFill="1" applyBorder="1" applyAlignment="1">
      <alignment horizontal="left" vertical="center" indent="1"/>
    </xf>
    <xf numFmtId="183" fontId="27" fillId="0" borderId="0" xfId="20" applyNumberFormat="1" applyFont="1" applyFill="1" applyBorder="1" applyAlignment="1">
      <alignment horizontal="center" vertical="center"/>
    </xf>
    <xf numFmtId="0" fontId="12" fillId="14" borderId="19" xfId="24" applyNumberFormat="1" applyFont="1" applyFill="1" applyAlignment="1">
      <alignment horizontal="left" vertical="center" indent="1"/>
    </xf>
    <xf numFmtId="0" fontId="38" fillId="0" borderId="0" xfId="17" applyFont="1" applyAlignment="1">
      <alignment horizontal="left" vertical="center"/>
    </xf>
    <xf numFmtId="183" fontId="27" fillId="14" borderId="0" xfId="20" applyNumberFormat="1" applyFont="1" applyFill="1" applyBorder="1" applyAlignment="1">
      <alignment horizontal="center" vertical="center"/>
    </xf>
    <xf numFmtId="183" fontId="27" fillId="14" borderId="19" xfId="20" applyNumberFormat="1" applyFont="1" applyFill="1" applyBorder="1" applyAlignment="1">
      <alignment horizontal="center" vertical="center"/>
    </xf>
    <xf numFmtId="9" fontId="27" fillId="0" borderId="0" xfId="6" applyFont="1" applyFill="1" applyBorder="1" applyAlignment="1">
      <alignment horizontal="center" vertical="center"/>
    </xf>
    <xf numFmtId="9" fontId="27" fillId="14" borderId="0" xfId="6" applyFont="1" applyFill="1" applyBorder="1" applyAlignment="1">
      <alignment horizontal="center" vertical="center"/>
    </xf>
    <xf numFmtId="9" fontId="27" fillId="14" borderId="19" xfId="6" applyFont="1" applyFill="1" applyBorder="1" applyAlignment="1">
      <alignment horizontal="center" vertical="center"/>
    </xf>
    <xf numFmtId="0" fontId="39" fillId="0" borderId="0" xfId="17" applyFont="1" applyAlignment="1">
      <alignment vertical="center"/>
    </xf>
    <xf numFmtId="0" fontId="12" fillId="0" borderId="0" xfId="17" applyFont="1" applyAlignment="1">
      <alignment vertical="center"/>
    </xf>
    <xf numFmtId="0" fontId="40" fillId="0" borderId="0" xfId="17" applyFont="1"/>
    <xf numFmtId="185" fontId="12" fillId="0" borderId="0" xfId="17" applyNumberFormat="1" applyFont="1"/>
    <xf numFmtId="185" fontId="12" fillId="0" borderId="0" xfId="17" applyNumberFormat="1" applyFont="1" applyAlignment="1">
      <alignment horizontal="left" indent="1"/>
    </xf>
    <xf numFmtId="0" fontId="12" fillId="15" borderId="0" xfId="17" applyFont="1" applyFill="1"/>
    <xf numFmtId="0" fontId="12" fillId="14" borderId="0" xfId="17" applyFont="1" applyFill="1"/>
    <xf numFmtId="0" fontId="40" fillId="14" borderId="0" xfId="17" applyFont="1" applyFill="1"/>
    <xf numFmtId="186" fontId="12" fillId="14" borderId="0" xfId="17" applyNumberFormat="1" applyFont="1" applyFill="1"/>
    <xf numFmtId="186" fontId="12" fillId="14" borderId="0" xfId="17" applyNumberFormat="1" applyFont="1" applyFill="1" applyAlignment="1">
      <alignment horizontal="left" indent="1"/>
    </xf>
    <xf numFmtId="0" fontId="39" fillId="15" borderId="0" xfId="17" applyFont="1" applyFill="1" applyAlignment="1">
      <alignment vertical="center"/>
    </xf>
    <xf numFmtId="0" fontId="39" fillId="14" borderId="0" xfId="17" applyFont="1" applyFill="1" applyAlignment="1">
      <alignment vertical="center"/>
    </xf>
    <xf numFmtId="0" fontId="43" fillId="14" borderId="22" xfId="17" applyFont="1" applyFill="1" applyBorder="1" applyAlignment="1">
      <alignment vertical="center"/>
    </xf>
    <xf numFmtId="0" fontId="44" fillId="14" borderId="22" xfId="17" applyFont="1" applyFill="1" applyBorder="1" applyAlignment="1">
      <alignment vertical="center"/>
    </xf>
    <xf numFmtId="186" fontId="39" fillId="14" borderId="22" xfId="17" applyNumberFormat="1" applyFont="1" applyFill="1" applyBorder="1" applyAlignment="1">
      <alignment vertical="center"/>
    </xf>
    <xf numFmtId="186" fontId="39" fillId="14" borderId="22" xfId="17" applyNumberFormat="1" applyFont="1" applyFill="1" applyBorder="1" applyAlignment="1">
      <alignment horizontal="left" vertical="center" indent="1"/>
    </xf>
    <xf numFmtId="0" fontId="12" fillId="15" borderId="0" xfId="17" applyFont="1" applyFill="1" applyAlignment="1">
      <alignment vertical="center"/>
    </xf>
    <xf numFmtId="0" fontId="12" fillId="14" borderId="0" xfId="17" applyFont="1" applyFill="1" applyAlignment="1">
      <alignment vertical="center"/>
    </xf>
    <xf numFmtId="0" fontId="40" fillId="14" borderId="0" xfId="17" applyFont="1" applyFill="1" applyAlignment="1">
      <alignment vertical="center"/>
    </xf>
    <xf numFmtId="186" fontId="12" fillId="14" borderId="23" xfId="17" applyNumberFormat="1" applyFont="1" applyFill="1" applyBorder="1" applyAlignment="1">
      <alignment vertical="center"/>
    </xf>
    <xf numFmtId="186" fontId="12" fillId="14" borderId="0" xfId="17" applyNumberFormat="1" applyFont="1" applyFill="1" applyAlignment="1">
      <alignment horizontal="left" vertical="center" indent="1"/>
    </xf>
    <xf numFmtId="186" fontId="12" fillId="14" borderId="0" xfId="17" applyNumberFormat="1" applyFont="1" applyFill="1" applyAlignment="1">
      <alignment vertical="center"/>
    </xf>
    <xf numFmtId="0" fontId="40" fillId="14" borderId="0" xfId="17" applyFont="1" applyFill="1" applyAlignment="1">
      <alignment horizontal="right" vertical="center"/>
    </xf>
    <xf numFmtId="0" fontId="40" fillId="14" borderId="0" xfId="17" applyFont="1" applyFill="1" applyAlignment="1">
      <alignment vertical="center" wrapText="1"/>
    </xf>
    <xf numFmtId="0" fontId="45" fillId="14" borderId="0" xfId="17" applyFont="1" applyFill="1" applyAlignment="1">
      <alignment horizontal="left" vertical="center"/>
    </xf>
    <xf numFmtId="186" fontId="27" fillId="14" borderId="0" xfId="17" applyNumberFormat="1" applyFont="1" applyFill="1" applyAlignment="1">
      <alignment horizontal="left" vertical="center" indent="1"/>
    </xf>
    <xf numFmtId="186" fontId="27" fillId="14" borderId="0" xfId="17" applyNumberFormat="1" applyFont="1" applyFill="1" applyAlignment="1">
      <alignment vertical="center"/>
    </xf>
    <xf numFmtId="186" fontId="12" fillId="14" borderId="23" xfId="17" applyNumberFormat="1" applyFont="1" applyFill="1" applyBorder="1"/>
    <xf numFmtId="0" fontId="40" fillId="14" borderId="0" xfId="17" applyFont="1" applyFill="1" applyAlignment="1">
      <alignment horizontal="right"/>
    </xf>
    <xf numFmtId="186" fontId="12" fillId="14" borderId="24" xfId="17" applyNumberFormat="1" applyFont="1" applyFill="1" applyBorder="1"/>
    <xf numFmtId="0" fontId="46" fillId="14" borderId="0" xfId="17" applyFont="1" applyFill="1"/>
    <xf numFmtId="186" fontId="27" fillId="14" borderId="23" xfId="17" applyNumberFormat="1" applyFont="1" applyFill="1" applyBorder="1" applyAlignment="1">
      <alignment horizontal="left" vertical="center" indent="1"/>
    </xf>
    <xf numFmtId="0" fontId="39" fillId="14" borderId="22" xfId="17" applyFont="1" applyFill="1" applyBorder="1" applyAlignment="1">
      <alignment vertical="center"/>
    </xf>
    <xf numFmtId="0" fontId="47" fillId="0" borderId="0" xfId="0" applyFont="1"/>
    <xf numFmtId="0" fontId="48" fillId="0" borderId="0" xfId="0" applyFont="1"/>
    <xf numFmtId="0" fontId="49" fillId="0" borderId="0" xfId="0" applyFont="1"/>
    <xf numFmtId="0" fontId="38" fillId="0" borderId="0" xfId="0" applyFont="1"/>
    <xf numFmtId="0" fontId="19" fillId="0" borderId="0" xfId="0" applyFont="1"/>
    <xf numFmtId="0" fontId="38" fillId="0" borderId="0" xfId="0" applyFont="1" applyAlignment="1">
      <alignment wrapText="1"/>
    </xf>
    <xf numFmtId="0" fontId="11" fillId="0" borderId="0" xfId="0" applyFont="1"/>
    <xf numFmtId="0" fontId="18" fillId="0" borderId="0" xfId="2" applyBorder="1" applyAlignment="1">
      <alignment vertical="center" wrapText="1"/>
    </xf>
    <xf numFmtId="0" fontId="54" fillId="16" borderId="27" xfId="2" applyFont="1" applyFill="1" applyBorder="1" applyAlignment="1">
      <alignment horizontal="left" vertical="center" indent="1"/>
    </xf>
    <xf numFmtId="187" fontId="54" fillId="16" borderId="28" xfId="0" applyNumberFormat="1" applyFont="1" applyFill="1" applyBorder="1" applyAlignment="1">
      <alignment horizontal="center" vertical="center"/>
    </xf>
    <xf numFmtId="0" fontId="54" fillId="16" borderId="29" xfId="2" applyFont="1" applyFill="1" applyBorder="1" applyAlignment="1">
      <alignment horizontal="left" vertical="center" indent="1"/>
    </xf>
    <xf numFmtId="187" fontId="54" fillId="16" borderId="30" xfId="0" applyNumberFormat="1" applyFont="1" applyFill="1" applyBorder="1" applyAlignment="1">
      <alignment horizontal="center" vertical="center"/>
    </xf>
    <xf numFmtId="0" fontId="57" fillId="19" borderId="31" xfId="2" applyFont="1" applyFill="1" applyBorder="1" applyAlignment="1">
      <alignment horizontal="left" vertical="center" indent="1"/>
    </xf>
    <xf numFmtId="187" fontId="58" fillId="19" borderId="32" xfId="0" applyNumberFormat="1" applyFont="1" applyFill="1" applyBorder="1" applyAlignment="1">
      <alignment horizontal="center" vertical="center"/>
    </xf>
    <xf numFmtId="0" fontId="54" fillId="16" borderId="33" xfId="2" applyFont="1" applyFill="1" applyBorder="1" applyAlignment="1">
      <alignment horizontal="left" vertical="center" indent="1"/>
    </xf>
    <xf numFmtId="187" fontId="54" fillId="16" borderId="34" xfId="0" applyNumberFormat="1" applyFont="1" applyFill="1" applyBorder="1" applyAlignment="1">
      <alignment horizontal="center" vertical="center"/>
    </xf>
    <xf numFmtId="0" fontId="18" fillId="0" borderId="0" xfId="2" applyBorder="1" applyAlignment="1">
      <alignment vertical="center"/>
    </xf>
    <xf numFmtId="187" fontId="60" fillId="0" borderId="0" xfId="0" applyNumberFormat="1" applyFont="1" applyAlignment="1">
      <alignment vertical="center"/>
    </xf>
    <xf numFmtId="0" fontId="61" fillId="16" borderId="0" xfId="2" applyFont="1" applyFill="1" applyBorder="1" applyAlignment="1">
      <alignment vertical="center"/>
    </xf>
    <xf numFmtId="187" fontId="62" fillId="16" borderId="0" xfId="0" applyNumberFormat="1" applyFont="1" applyFill="1" applyAlignment="1">
      <alignment vertical="center"/>
    </xf>
    <xf numFmtId="0" fontId="63" fillId="0" borderId="0" xfId="0" applyFont="1"/>
    <xf numFmtId="0" fontId="51" fillId="16" borderId="0" xfId="2" applyFont="1" applyFill="1" applyBorder="1" applyAlignment="1">
      <alignment horizontal="left" vertical="center" indent="1"/>
    </xf>
    <xf numFmtId="0" fontId="59" fillId="0" borderId="0" xfId="0" applyFont="1" applyAlignment="1">
      <alignment horizontal="left" vertical="center" indent="1"/>
    </xf>
    <xf numFmtId="0" fontId="64" fillId="0" borderId="0" xfId="0" applyFont="1" applyAlignment="1">
      <alignment horizontal="left" vertical="center" indent="1"/>
    </xf>
    <xf numFmtId="0" fontId="51" fillId="0" borderId="0" xfId="0" applyFont="1" applyAlignment="1">
      <alignment horizontal="left" vertical="center" indent="1"/>
    </xf>
    <xf numFmtId="0" fontId="25" fillId="0" borderId="0" xfId="0" applyFont="1" applyAlignment="1">
      <alignment horizontal="left" vertical="center" indent="1"/>
    </xf>
    <xf numFmtId="0" fontId="57" fillId="0" borderId="0" xfId="0" applyFont="1" applyAlignment="1">
      <alignment horizontal="center" vertical="center" wrapText="1"/>
    </xf>
    <xf numFmtId="0" fontId="57" fillId="0" borderId="0" xfId="0" applyFont="1" applyAlignment="1">
      <alignment horizontal="center" vertical="center"/>
    </xf>
    <xf numFmtId="0" fontId="65" fillId="0" borderId="0" xfId="0" applyFont="1"/>
    <xf numFmtId="0" fontId="66" fillId="16" borderId="0" xfId="0" applyFont="1" applyFill="1" applyAlignment="1">
      <alignment horizontal="left" vertical="center" indent="1"/>
    </xf>
    <xf numFmtId="0" fontId="57" fillId="16" borderId="0" xfId="0" applyFont="1" applyFill="1" applyAlignment="1">
      <alignment horizontal="center" vertical="center" wrapText="1"/>
    </xf>
    <xf numFmtId="0" fontId="54" fillId="0" borderId="0" xfId="0" applyFont="1" applyAlignment="1">
      <alignment horizontal="left" vertical="center" indent="1"/>
    </xf>
    <xf numFmtId="184" fontId="54" fillId="0" borderId="0" xfId="0" applyNumberFormat="1" applyFont="1" applyAlignment="1">
      <alignment horizontal="center" vertical="center"/>
    </xf>
    <xf numFmtId="0" fontId="54" fillId="16" borderId="0" xfId="0" applyFont="1" applyFill="1" applyAlignment="1">
      <alignment horizontal="left" vertical="center" indent="1"/>
    </xf>
    <xf numFmtId="184" fontId="54" fillId="16" borderId="0" xfId="0" applyNumberFormat="1" applyFont="1" applyFill="1" applyAlignment="1">
      <alignment horizontal="center" vertical="center"/>
    </xf>
    <xf numFmtId="0" fontId="57" fillId="19" borderId="0" xfId="0" applyFont="1" applyFill="1" applyAlignment="1">
      <alignment horizontal="left" vertical="center" indent="1"/>
    </xf>
    <xf numFmtId="184" fontId="37" fillId="19" borderId="0" xfId="0" applyNumberFormat="1" applyFont="1" applyFill="1" applyAlignment="1">
      <alignment horizontal="center" vertical="center"/>
    </xf>
    <xf numFmtId="0" fontId="57" fillId="0" borderId="0" xfId="0" applyFont="1" applyAlignment="1">
      <alignment horizontal="left" vertical="center" indent="1"/>
    </xf>
    <xf numFmtId="184" fontId="61" fillId="0" borderId="0" xfId="0" applyNumberFormat="1" applyFont="1" applyAlignment="1">
      <alignment horizontal="center" vertical="center"/>
    </xf>
    <xf numFmtId="0" fontId="65" fillId="0" borderId="0" xfId="0" applyFont="1" applyAlignment="1">
      <alignment horizontal="center"/>
    </xf>
    <xf numFmtId="0" fontId="67" fillId="16" borderId="0" xfId="0" applyFont="1" applyFill="1" applyAlignment="1">
      <alignment horizontal="left" vertical="center" indent="1"/>
    </xf>
    <xf numFmtId="184" fontId="65" fillId="16" borderId="0" xfId="0" applyNumberFormat="1" applyFont="1" applyFill="1" applyAlignment="1">
      <alignment horizontal="center" vertical="center"/>
    </xf>
    <xf numFmtId="0" fontId="66" fillId="16" borderId="0" xfId="0" applyFont="1" applyFill="1" applyAlignment="1">
      <alignment horizontal="center" vertical="center"/>
    </xf>
    <xf numFmtId="0" fontId="57" fillId="16" borderId="0" xfId="0" applyFont="1" applyFill="1" applyAlignment="1">
      <alignment horizontal="center" vertical="center"/>
    </xf>
    <xf numFmtId="0" fontId="25" fillId="16" borderId="0" xfId="0" applyFont="1" applyFill="1" applyAlignment="1">
      <alignment horizontal="left" vertical="center" indent="1"/>
    </xf>
    <xf numFmtId="184" fontId="65" fillId="19" borderId="0" xfId="0" applyNumberFormat="1" applyFont="1" applyFill="1" applyAlignment="1">
      <alignment horizontal="center" vertical="center"/>
    </xf>
    <xf numFmtId="184" fontId="58" fillId="19" borderId="0" xfId="0" applyNumberFormat="1" applyFont="1" applyFill="1" applyAlignment="1">
      <alignment horizontal="center" vertical="center"/>
    </xf>
    <xf numFmtId="184" fontId="65" fillId="16" borderId="0" xfId="0" applyNumberFormat="1" applyFont="1" applyFill="1" applyAlignment="1">
      <alignment horizontal="left" vertical="center" indent="1"/>
    </xf>
    <xf numFmtId="0" fontId="67" fillId="16" borderId="0" xfId="0" applyFont="1" applyFill="1" applyAlignment="1">
      <alignment vertical="center"/>
    </xf>
    <xf numFmtId="184" fontId="65" fillId="16" borderId="0" xfId="0" applyNumberFormat="1" applyFont="1" applyFill="1" applyAlignment="1">
      <alignment vertical="center"/>
    </xf>
    <xf numFmtId="184" fontId="54" fillId="19" borderId="0" xfId="0" applyNumberFormat="1" applyFont="1" applyFill="1" applyAlignment="1">
      <alignment horizontal="center" vertical="center"/>
    </xf>
    <xf numFmtId="0" fontId="58" fillId="16" borderId="0" xfId="0" applyFont="1" applyFill="1" applyAlignment="1">
      <alignment horizontal="left" vertical="center" indent="1"/>
    </xf>
    <xf numFmtId="184" fontId="54" fillId="16" borderId="0" xfId="0" applyNumberFormat="1" applyFont="1" applyFill="1" applyAlignment="1">
      <alignment horizontal="left" vertical="center"/>
    </xf>
    <xf numFmtId="0" fontId="68" fillId="16" borderId="0" xfId="0" applyFont="1" applyFill="1" applyAlignment="1">
      <alignment horizontal="left" vertical="center" indent="1"/>
    </xf>
    <xf numFmtId="0" fontId="69" fillId="16" borderId="0" xfId="0" applyFont="1" applyFill="1" applyAlignment="1">
      <alignment horizontal="left" vertical="center" indent="1"/>
    </xf>
    <xf numFmtId="0" fontId="69" fillId="0" borderId="0" xfId="0" applyFont="1" applyAlignment="1">
      <alignment vertical="center"/>
    </xf>
    <xf numFmtId="184" fontId="65" fillId="0" borderId="0" xfId="0" applyNumberFormat="1" applyFont="1" applyAlignment="1">
      <alignment vertical="center"/>
    </xf>
    <xf numFmtId="0" fontId="66" fillId="16" borderId="0" xfId="0" applyFont="1" applyFill="1" applyAlignment="1">
      <alignment vertical="center"/>
    </xf>
    <xf numFmtId="184" fontId="57" fillId="19" borderId="0" xfId="0" applyNumberFormat="1" applyFont="1" applyFill="1" applyAlignment="1">
      <alignment horizontal="center" vertical="center"/>
    </xf>
    <xf numFmtId="184" fontId="67" fillId="16" borderId="0" xfId="0" applyNumberFormat="1" applyFont="1" applyFill="1" applyAlignment="1">
      <alignment vertical="center"/>
    </xf>
    <xf numFmtId="0" fontId="69" fillId="16" borderId="0" xfId="0" applyFont="1" applyFill="1" applyAlignment="1">
      <alignment vertical="center"/>
    </xf>
    <xf numFmtId="0" fontId="65" fillId="16" borderId="0" xfId="0" applyFont="1" applyFill="1" applyAlignment="1">
      <alignment horizontal="left" vertical="center" indent="1"/>
    </xf>
    <xf numFmtId="0" fontId="70" fillId="16" borderId="0" xfId="1" applyFill="1" applyBorder="1"/>
    <xf numFmtId="0" fontId="18" fillId="0" borderId="0" xfId="2" applyBorder="1" applyAlignment="1">
      <alignment horizontal="left" vertical="center"/>
    </xf>
    <xf numFmtId="0" fontId="0" fillId="0" borderId="0" xfId="0" applyAlignment="1">
      <alignment horizontal="center"/>
    </xf>
    <xf numFmtId="0" fontId="71" fillId="0" borderId="0" xfId="15" applyFont="1" applyAlignment="1"/>
    <xf numFmtId="0" fontId="71" fillId="0" borderId="0" xfId="15" applyFont="1">
      <alignment vertical="center"/>
    </xf>
    <xf numFmtId="0" fontId="72" fillId="0" borderId="35" xfId="12" applyFont="1" applyBorder="1"/>
    <xf numFmtId="0" fontId="71" fillId="0" borderId="35" xfId="15" applyFont="1" applyBorder="1">
      <alignment vertical="center"/>
    </xf>
    <xf numFmtId="0" fontId="73" fillId="0" borderId="35" xfId="15" applyFont="1" applyBorder="1" applyAlignment="1">
      <alignment horizontal="right"/>
    </xf>
    <xf numFmtId="0" fontId="74" fillId="0" borderId="0" xfId="7" applyFont="1"/>
    <xf numFmtId="3" fontId="75" fillId="0" borderId="36" xfId="15" applyNumberFormat="1" applyFont="1" applyBorder="1" applyAlignment="1">
      <alignment horizontal="right" wrapText="1" indent="1"/>
    </xf>
    <xf numFmtId="177" fontId="76" fillId="0" borderId="36" xfId="4" applyFont="1">
      <alignment horizontal="right" vertical="center" wrapText="1" indent="1"/>
    </xf>
    <xf numFmtId="14" fontId="40" fillId="0" borderId="0" xfId="15" applyNumberFormat="1" applyFont="1" applyAlignment="1">
      <alignment horizontal="left" vertical="center" indent="1"/>
    </xf>
    <xf numFmtId="3" fontId="40" fillId="0" borderId="37" xfId="15" applyNumberFormat="1" applyFont="1" applyBorder="1" applyAlignment="1">
      <alignment horizontal="right" wrapText="1" indent="1"/>
    </xf>
    <xf numFmtId="188" fontId="40" fillId="0" borderId="37" xfId="15" applyNumberFormat="1" applyFont="1" applyBorder="1" applyAlignment="1">
      <alignment horizontal="right" wrapText="1" indent="1"/>
    </xf>
    <xf numFmtId="3" fontId="40" fillId="0" borderId="0" xfId="15" applyNumberFormat="1" applyFont="1" applyAlignment="1">
      <alignment horizontal="right" wrapText="1" indent="1"/>
    </xf>
    <xf numFmtId="188" fontId="75" fillId="0" borderId="0" xfId="15" applyNumberFormat="1" applyFont="1" applyAlignment="1">
      <alignment horizontal="right" wrapText="1" indent="1"/>
    </xf>
    <xf numFmtId="178" fontId="77" fillId="0" borderId="38" xfId="7" applyNumberFormat="1" applyFont="1" applyFill="1" applyBorder="1" applyAlignment="1">
      <alignment horizontal="left" vertical="center"/>
    </xf>
    <xf numFmtId="178" fontId="40" fillId="0" borderId="39" xfId="15" applyNumberFormat="1" applyFont="1" applyBorder="1" applyAlignment="1">
      <alignment horizontal="right" vertical="center"/>
    </xf>
    <xf numFmtId="0" fontId="78" fillId="0" borderId="0" xfId="7" applyFont="1" applyAlignment="1">
      <alignment vertical="center"/>
    </xf>
    <xf numFmtId="178" fontId="79" fillId="0" borderId="0" xfId="15" applyNumberFormat="1" applyFont="1" applyAlignment="1">
      <alignment horizontal="left" vertical="center" indent="1"/>
    </xf>
    <xf numFmtId="0" fontId="71" fillId="16" borderId="20" xfId="15" applyFont="1" applyFill="1" applyBorder="1">
      <alignment vertical="center"/>
    </xf>
    <xf numFmtId="178" fontId="71" fillId="0" borderId="0" xfId="15" applyNumberFormat="1" applyFont="1" applyAlignment="1">
      <alignment horizontal="right" vertical="center"/>
    </xf>
    <xf numFmtId="0" fontId="71" fillId="16" borderId="19" xfId="15" applyFont="1" applyFill="1" applyBorder="1">
      <alignment vertical="center"/>
    </xf>
    <xf numFmtId="178" fontId="12" fillId="0" borderId="0" xfId="0" applyNumberFormat="1" applyFont="1" applyAlignment="1">
      <alignment horizontal="left" vertical="center" indent="1"/>
    </xf>
    <xf numFmtId="0" fontId="71" fillId="16" borderId="40" xfId="0" applyFont="1" applyFill="1" applyBorder="1" applyAlignment="1">
      <alignment vertical="center"/>
    </xf>
    <xf numFmtId="178" fontId="71" fillId="0" borderId="0" xfId="0" applyNumberFormat="1" applyFont="1" applyAlignment="1">
      <alignment vertical="center"/>
    </xf>
    <xf numFmtId="178" fontId="78" fillId="24" borderId="38" xfId="7" applyNumberFormat="1" applyFont="1" applyFill="1" applyBorder="1" applyAlignment="1">
      <alignment horizontal="left" vertical="center"/>
    </xf>
    <xf numFmtId="0" fontId="71" fillId="16" borderId="0" xfId="15" applyFont="1" applyFill="1">
      <alignment vertical="center"/>
    </xf>
    <xf numFmtId="178" fontId="40" fillId="24" borderId="39" xfId="5" applyFont="1" applyAlignment="1">
      <alignment vertical="center"/>
    </xf>
    <xf numFmtId="0" fontId="71" fillId="0" borderId="0" xfId="15" applyFont="1" applyAlignment="1">
      <alignment horizontal="left" vertical="center" indent="1"/>
    </xf>
    <xf numFmtId="178" fontId="71" fillId="0" borderId="0" xfId="15" applyNumberFormat="1" applyFont="1">
      <alignment vertical="center"/>
    </xf>
    <xf numFmtId="0" fontId="78" fillId="0" borderId="0" xfId="7" applyFont="1" applyAlignment="1">
      <alignment horizontal="left"/>
    </xf>
    <xf numFmtId="0" fontId="79" fillId="0" borderId="0" xfId="15" applyFont="1" applyAlignment="1">
      <alignment horizontal="left" vertical="center" indent="1"/>
    </xf>
    <xf numFmtId="0" fontId="71" fillId="0" borderId="0" xfId="0" applyFont="1" applyAlignment="1">
      <alignment horizontal="left" vertical="center" indent="1"/>
    </xf>
    <xf numFmtId="0" fontId="71" fillId="16" borderId="20" xfId="0" applyFont="1" applyFill="1" applyBorder="1" applyAlignment="1">
      <alignment vertical="center"/>
    </xf>
    <xf numFmtId="0" fontId="71" fillId="16" borderId="21" xfId="15" applyFont="1" applyFill="1" applyBorder="1">
      <alignment vertical="center"/>
    </xf>
    <xf numFmtId="177" fontId="80" fillId="16" borderId="41" xfId="15" applyNumberFormat="1" applyFont="1" applyFill="1" applyBorder="1" applyAlignment="1">
      <alignment horizontal="right" vertical="center" wrapText="1" indent="1"/>
    </xf>
    <xf numFmtId="3" fontId="80" fillId="0" borderId="36" xfId="15" applyNumberFormat="1" applyFont="1" applyBorder="1" applyAlignment="1">
      <alignment horizontal="right" vertical="center" wrapText="1" indent="1"/>
    </xf>
    <xf numFmtId="188" fontId="75" fillId="16" borderId="41" xfId="15" applyNumberFormat="1" applyFont="1" applyFill="1" applyBorder="1" applyAlignment="1">
      <alignment horizontal="right" wrapText="1" indent="1"/>
    </xf>
    <xf numFmtId="188" fontId="75" fillId="16" borderId="20" xfId="15" applyNumberFormat="1" applyFont="1" applyFill="1" applyBorder="1" applyAlignment="1">
      <alignment horizontal="right" wrapText="1" indent="1"/>
    </xf>
    <xf numFmtId="3" fontId="75" fillId="0" borderId="0" xfId="15" applyNumberFormat="1" applyFont="1" applyAlignment="1">
      <alignment horizontal="right" wrapText="1" indent="1"/>
    </xf>
    <xf numFmtId="178" fontId="40" fillId="16" borderId="41" xfId="15" applyNumberFormat="1" applyFont="1" applyFill="1" applyBorder="1" applyAlignment="1">
      <alignment horizontal="right"/>
    </xf>
    <xf numFmtId="0" fontId="73" fillId="0" borderId="39" xfId="15" applyFont="1" applyBorder="1">
      <alignment vertical="center"/>
    </xf>
    <xf numFmtId="178" fontId="71" fillId="16" borderId="20" xfId="15" applyNumberFormat="1" applyFont="1" applyFill="1" applyBorder="1">
      <alignment vertical="center"/>
    </xf>
    <xf numFmtId="178" fontId="71" fillId="16" borderId="20" xfId="0" applyNumberFormat="1" applyFont="1" applyFill="1" applyBorder="1" applyAlignment="1">
      <alignment vertical="center"/>
    </xf>
    <xf numFmtId="0" fontId="71" fillId="0" borderId="0" xfId="0" applyFont="1" applyAlignment="1">
      <alignment vertical="center"/>
    </xf>
    <xf numFmtId="178" fontId="40" fillId="16" borderId="42" xfId="15" applyNumberFormat="1" applyFont="1" applyFill="1" applyBorder="1">
      <alignment vertical="center"/>
    </xf>
    <xf numFmtId="0" fontId="71" fillId="0" borderId="39" xfId="15" applyFont="1" applyBorder="1">
      <alignment vertical="center"/>
    </xf>
    <xf numFmtId="3" fontId="71" fillId="0" borderId="0" xfId="15" applyNumberFormat="1" applyFont="1">
      <alignment vertical="center"/>
    </xf>
    <xf numFmtId="0" fontId="71" fillId="0" borderId="0" xfId="0" applyFont="1"/>
    <xf numFmtId="3" fontId="71" fillId="16" borderId="20" xfId="15" applyNumberFormat="1" applyFont="1" applyFill="1" applyBorder="1">
      <alignment vertical="center"/>
    </xf>
    <xf numFmtId="0" fontId="73" fillId="0" borderId="38" xfId="15" applyFont="1" applyBorder="1" applyAlignment="1"/>
    <xf numFmtId="0" fontId="81" fillId="0" borderId="0" xfId="0" applyFont="1" applyAlignment="1">
      <alignment horizontal="center" vertical="center"/>
    </xf>
    <xf numFmtId="189" fontId="81" fillId="0" borderId="0" xfId="0" applyNumberFormat="1" applyFont="1" applyAlignment="1">
      <alignment horizontal="center" vertical="center"/>
    </xf>
    <xf numFmtId="190" fontId="81" fillId="0" borderId="0" xfId="0" applyNumberFormat="1" applyFont="1" applyAlignment="1">
      <alignment horizontal="center" vertical="center"/>
    </xf>
    <xf numFmtId="191" fontId="82" fillId="0" borderId="0" xfId="0" applyNumberFormat="1" applyFont="1" applyAlignment="1">
      <alignment horizontal="center" vertical="center"/>
    </xf>
    <xf numFmtId="0" fontId="83" fillId="0" borderId="0" xfId="0" applyFont="1" applyAlignment="1">
      <alignment horizontal="center" vertical="center"/>
    </xf>
    <xf numFmtId="189" fontId="83" fillId="0" borderId="0" xfId="0" applyNumberFormat="1" applyFont="1" applyAlignment="1">
      <alignment horizontal="center" vertical="center"/>
    </xf>
    <xf numFmtId="190" fontId="83" fillId="0" borderId="0" xfId="0" applyNumberFormat="1" applyFont="1" applyAlignment="1">
      <alignment horizontal="center" vertical="center"/>
    </xf>
    <xf numFmtId="0" fontId="85" fillId="25" borderId="43" xfId="0" applyFont="1" applyFill="1" applyBorder="1" applyAlignment="1">
      <alignment horizontal="center" vertical="center"/>
    </xf>
    <xf numFmtId="190" fontId="85" fillId="25" borderId="43" xfId="0" applyNumberFormat="1" applyFont="1" applyFill="1" applyBorder="1" applyAlignment="1">
      <alignment horizontal="center" vertical="center"/>
    </xf>
    <xf numFmtId="0" fontId="81" fillId="0" borderId="43" xfId="0" applyFont="1" applyBorder="1" applyAlignment="1">
      <alignment horizontal="center" vertical="center"/>
    </xf>
    <xf numFmtId="189" fontId="81" fillId="0" borderId="43" xfId="0" applyNumberFormat="1" applyFont="1" applyBorder="1" applyAlignment="1">
      <alignment horizontal="center" vertical="center"/>
    </xf>
    <xf numFmtId="192" fontId="86" fillId="0" borderId="43" xfId="0" applyNumberFormat="1" applyFont="1" applyBorder="1" applyAlignment="1">
      <alignment horizontal="center" vertical="center"/>
    </xf>
    <xf numFmtId="191" fontId="82" fillId="0" borderId="43" xfId="0" applyNumberFormat="1" applyFont="1" applyBorder="1" applyAlignment="1">
      <alignment horizontal="center" vertical="center"/>
    </xf>
    <xf numFmtId="0" fontId="83" fillId="26" borderId="46" xfId="0" applyFont="1" applyFill="1" applyBorder="1" applyAlignment="1">
      <alignment horizontal="center" vertical="center"/>
    </xf>
    <xf numFmtId="0" fontId="83" fillId="26" borderId="47" xfId="0" applyFont="1" applyFill="1" applyBorder="1" applyAlignment="1">
      <alignment horizontal="center" vertical="center"/>
    </xf>
    <xf numFmtId="0" fontId="83" fillId="26" borderId="50" xfId="0" applyFont="1" applyFill="1" applyBorder="1" applyAlignment="1">
      <alignment horizontal="center" vertical="center"/>
    </xf>
    <xf numFmtId="0" fontId="83" fillId="26" borderId="51" xfId="0" applyFont="1" applyFill="1" applyBorder="1" applyAlignment="1">
      <alignment horizontal="center" vertical="center"/>
    </xf>
    <xf numFmtId="0" fontId="83" fillId="26" borderId="0" xfId="0" applyFont="1" applyFill="1" applyAlignment="1">
      <alignment horizontal="center" vertical="center"/>
    </xf>
    <xf numFmtId="0" fontId="107" fillId="0" borderId="0" xfId="10" applyFont="1" applyFill="1" applyAlignment="1">
      <alignment horizontal="left"/>
    </xf>
    <xf numFmtId="189" fontId="112" fillId="0" borderId="43" xfId="0" applyNumberFormat="1" applyFont="1" applyBorder="1" applyAlignment="1">
      <alignment horizontal="center" vertical="center"/>
    </xf>
    <xf numFmtId="0" fontId="112" fillId="0" borderId="43" xfId="0" applyFont="1" applyBorder="1" applyAlignment="1">
      <alignment horizontal="center" vertical="center"/>
    </xf>
    <xf numFmtId="0" fontId="112" fillId="0" borderId="43" xfId="0" applyFont="1" applyBorder="1" applyAlignment="1">
      <alignment horizontal="center" vertical="center" wrapText="1"/>
    </xf>
    <xf numFmtId="0" fontId="108" fillId="0" borderId="0" xfId="15" applyFont="1" applyAlignment="1">
      <alignment horizontal="left" vertical="center" indent="1"/>
    </xf>
    <xf numFmtId="0" fontId="113" fillId="25" borderId="43" xfId="0" applyFont="1" applyFill="1" applyBorder="1" applyAlignment="1">
      <alignment horizontal="center" vertical="center"/>
    </xf>
    <xf numFmtId="178" fontId="108" fillId="0" borderId="0" xfId="15" applyNumberFormat="1" applyFont="1" applyAlignment="1">
      <alignment horizontal="left" vertical="center" indent="1"/>
    </xf>
    <xf numFmtId="195" fontId="92" fillId="26" borderId="46" xfId="0" applyNumberFormat="1" applyFont="1" applyFill="1" applyBorder="1" applyAlignment="1">
      <alignment horizontal="left" vertical="center"/>
    </xf>
    <xf numFmtId="195" fontId="92" fillId="26" borderId="47" xfId="0" applyNumberFormat="1" applyFont="1" applyFill="1" applyBorder="1" applyAlignment="1">
      <alignment horizontal="left" vertical="center"/>
    </xf>
    <xf numFmtId="0" fontId="85" fillId="25" borderId="43" xfId="0" applyFont="1" applyFill="1" applyBorder="1" applyAlignment="1">
      <alignment horizontal="center" vertical="center"/>
    </xf>
    <xf numFmtId="189" fontId="85" fillId="25" borderId="43" xfId="0" applyNumberFormat="1" applyFont="1" applyFill="1" applyBorder="1" applyAlignment="1">
      <alignment horizontal="center" vertical="center"/>
    </xf>
    <xf numFmtId="193" fontId="87" fillId="26" borderId="44" xfId="0" applyNumberFormat="1" applyFont="1" applyFill="1" applyBorder="1" applyAlignment="1">
      <alignment horizontal="left" vertical="center"/>
    </xf>
    <xf numFmtId="193" fontId="87" fillId="26" borderId="45" xfId="0" applyNumberFormat="1" applyFont="1" applyFill="1" applyBorder="1" applyAlignment="1">
      <alignment horizontal="left" vertical="center"/>
    </xf>
    <xf numFmtId="193" fontId="87" fillId="26" borderId="46" xfId="0" applyNumberFormat="1" applyFont="1" applyFill="1" applyBorder="1" applyAlignment="1">
      <alignment horizontal="left" vertical="center"/>
    </xf>
    <xf numFmtId="193" fontId="87" fillId="26" borderId="47" xfId="0" applyNumberFormat="1" applyFont="1" applyFill="1" applyBorder="1" applyAlignment="1">
      <alignment horizontal="left" vertical="center"/>
    </xf>
    <xf numFmtId="0" fontId="89" fillId="26" borderId="46" xfId="0" applyFont="1" applyFill="1" applyBorder="1" applyAlignment="1">
      <alignment horizontal="left" vertical="center"/>
    </xf>
    <xf numFmtId="0" fontId="89" fillId="26" borderId="47" xfId="0" applyFont="1" applyFill="1" applyBorder="1" applyAlignment="1">
      <alignment horizontal="left" vertical="center"/>
    </xf>
    <xf numFmtId="192" fontId="90" fillId="26" borderId="46" xfId="0" applyNumberFormat="1" applyFont="1" applyFill="1" applyBorder="1" applyAlignment="1">
      <alignment horizontal="left" vertical="center"/>
    </xf>
    <xf numFmtId="192" fontId="90" fillId="26" borderId="47" xfId="0" applyNumberFormat="1" applyFont="1" applyFill="1" applyBorder="1" applyAlignment="1">
      <alignment horizontal="left" vertical="center"/>
    </xf>
    <xf numFmtId="191" fontId="91" fillId="26" borderId="46" xfId="0" applyNumberFormat="1" applyFont="1" applyFill="1" applyBorder="1" applyAlignment="1">
      <alignment horizontal="left" vertical="center"/>
    </xf>
    <xf numFmtId="191" fontId="91" fillId="26" borderId="47" xfId="0" applyNumberFormat="1" applyFont="1" applyFill="1" applyBorder="1" applyAlignment="1">
      <alignment horizontal="left" vertical="center"/>
    </xf>
    <xf numFmtId="0" fontId="93" fillId="26" borderId="46" xfId="0" applyFont="1" applyFill="1" applyBorder="1" applyAlignment="1">
      <alignment horizontal="left" vertical="center"/>
    </xf>
    <xf numFmtId="0" fontId="93" fillId="26" borderId="47" xfId="0" applyFont="1" applyFill="1" applyBorder="1" applyAlignment="1">
      <alignment horizontal="left" vertical="center"/>
    </xf>
    <xf numFmtId="0" fontId="85" fillId="26" borderId="46" xfId="0" applyFont="1" applyFill="1" applyBorder="1" applyAlignment="1">
      <alignment horizontal="left" vertical="center"/>
    </xf>
    <xf numFmtId="0" fontId="85" fillId="26" borderId="47" xfId="0" applyFont="1" applyFill="1" applyBorder="1" applyAlignment="1">
      <alignment horizontal="left" vertical="center"/>
    </xf>
    <xf numFmtId="189" fontId="94" fillId="26" borderId="48" xfId="0" applyNumberFormat="1" applyFont="1" applyFill="1" applyBorder="1" applyAlignment="1">
      <alignment horizontal="left" vertical="center"/>
    </xf>
    <xf numFmtId="189" fontId="94" fillId="26" borderId="49" xfId="0" applyNumberFormat="1" applyFont="1" applyFill="1" applyBorder="1" applyAlignment="1">
      <alignment horizontal="left" vertical="center"/>
    </xf>
    <xf numFmtId="0" fontId="109" fillId="0" borderId="0" xfId="0" applyFont="1" applyAlignment="1">
      <alignment horizontal="center" vertical="center"/>
    </xf>
    <xf numFmtId="189" fontId="84" fillId="0" borderId="0" xfId="0" applyNumberFormat="1" applyFont="1" applyAlignment="1">
      <alignment horizontal="center" vertical="center"/>
    </xf>
    <xf numFmtId="0" fontId="84" fillId="0" borderId="0" xfId="0" applyFont="1" applyAlignment="1">
      <alignment horizontal="center" vertical="center"/>
    </xf>
    <xf numFmtId="190" fontId="84" fillId="0" borderId="0" xfId="0" applyNumberFormat="1" applyFont="1" applyAlignment="1">
      <alignment horizontal="center" vertical="center"/>
    </xf>
    <xf numFmtId="190" fontId="85" fillId="25" borderId="43" xfId="0" applyNumberFormat="1" applyFont="1" applyFill="1" applyBorder="1" applyAlignment="1">
      <alignment horizontal="center" vertical="center"/>
    </xf>
    <xf numFmtId="194" fontId="88" fillId="26" borderId="46" xfId="0" applyNumberFormat="1" applyFont="1" applyFill="1" applyBorder="1" applyAlignment="1">
      <alignment horizontal="left" vertical="center"/>
    </xf>
    <xf numFmtId="194" fontId="88" fillId="26" borderId="47" xfId="0" applyNumberFormat="1" applyFont="1" applyFill="1" applyBorder="1" applyAlignment="1">
      <alignment horizontal="left" vertical="center"/>
    </xf>
    <xf numFmtId="0" fontId="71" fillId="0" borderId="0" xfId="15" applyFont="1" applyAlignment="1">
      <alignment horizontal="center"/>
    </xf>
    <xf numFmtId="187" fontId="56" fillId="21" borderId="0" xfId="0" applyNumberFormat="1" applyFont="1" applyFill="1" applyAlignment="1">
      <alignment horizontal="center" vertical="center"/>
    </xf>
    <xf numFmtId="187" fontId="56" fillId="22" borderId="0" xfId="0" applyNumberFormat="1" applyFont="1" applyFill="1" applyAlignment="1">
      <alignment horizontal="center" vertical="center"/>
    </xf>
    <xf numFmtId="187" fontId="57" fillId="23" borderId="0" xfId="0" applyNumberFormat="1" applyFont="1" applyFill="1" applyAlignment="1">
      <alignment horizontal="center" vertical="center"/>
    </xf>
    <xf numFmtId="0" fontId="53" fillId="17" borderId="0" xfId="2" applyFont="1" applyFill="1" applyBorder="1" applyAlignment="1">
      <alignment horizontal="left" vertical="center" wrapText="1" indent="1"/>
    </xf>
    <xf numFmtId="0" fontId="55" fillId="18" borderId="0" xfId="2" applyFont="1" applyFill="1" applyBorder="1" applyAlignment="1">
      <alignment horizontal="left" vertical="center" wrapText="1" indent="1"/>
    </xf>
    <xf numFmtId="0" fontId="55" fillId="20" borderId="0" xfId="2" applyFont="1" applyFill="1" applyBorder="1" applyAlignment="1">
      <alignment horizontal="left" vertical="center" wrapText="1" indent="1"/>
    </xf>
    <xf numFmtId="0" fontId="55" fillId="23" borderId="0" xfId="2" applyFont="1" applyFill="1" applyBorder="1" applyAlignment="1">
      <alignment horizontal="left" vertical="center" wrapText="1" indent="1"/>
    </xf>
    <xf numFmtId="0" fontId="55" fillId="22" borderId="0" xfId="2" applyFont="1" applyFill="1" applyBorder="1" applyAlignment="1">
      <alignment horizontal="left" vertical="center" wrapText="1" indent="1"/>
    </xf>
    <xf numFmtId="0" fontId="55" fillId="21" borderId="0" xfId="2" applyFont="1" applyFill="1" applyBorder="1" applyAlignment="1">
      <alignment horizontal="left" vertical="center" wrapText="1" indent="1"/>
    </xf>
    <xf numFmtId="0" fontId="51" fillId="16" borderId="0" xfId="0" applyFont="1" applyFill="1" applyAlignment="1">
      <alignment horizontal="left" vertical="center" indent="1"/>
    </xf>
    <xf numFmtId="0" fontId="59" fillId="16" borderId="0" xfId="0" applyFont="1" applyFill="1" applyAlignment="1">
      <alignment horizontal="left" vertical="center" indent="1"/>
    </xf>
    <xf numFmtId="0" fontId="51" fillId="0" borderId="0" xfId="0" applyFont="1" applyAlignment="1">
      <alignment horizontal="left" vertical="center" indent="1"/>
    </xf>
    <xf numFmtId="0" fontId="59" fillId="0" borderId="0" xfId="0" applyFont="1" applyAlignment="1">
      <alignment horizontal="left" vertical="center" indent="1"/>
    </xf>
    <xf numFmtId="0" fontId="51" fillId="16" borderId="0" xfId="0" applyFont="1" applyFill="1" applyAlignment="1">
      <alignment vertical="center"/>
    </xf>
    <xf numFmtId="0" fontId="59" fillId="16" borderId="0" xfId="0" applyFont="1" applyFill="1" applyAlignment="1">
      <alignment vertical="center"/>
    </xf>
    <xf numFmtId="187" fontId="39" fillId="17" borderId="0" xfId="0" applyNumberFormat="1" applyFont="1" applyFill="1" applyAlignment="1">
      <alignment horizontal="center" vertical="center"/>
    </xf>
    <xf numFmtId="187" fontId="56" fillId="18" borderId="0" xfId="0" applyNumberFormat="1" applyFont="1" applyFill="1" applyAlignment="1">
      <alignment horizontal="center" vertical="center"/>
    </xf>
    <xf numFmtId="187" fontId="57" fillId="20" borderId="0" xfId="0" applyNumberFormat="1" applyFont="1" applyFill="1" applyAlignment="1">
      <alignment horizontal="center" vertical="center"/>
    </xf>
    <xf numFmtId="0" fontId="65" fillId="0" borderId="0" xfId="0" applyFont="1" applyAlignment="1">
      <alignment horizontal="center"/>
    </xf>
    <xf numFmtId="0" fontId="114" fillId="0" borderId="0" xfId="0" applyFont="1" applyAlignment="1">
      <alignment horizontal="left" vertical="center" indent="7"/>
    </xf>
    <xf numFmtId="0" fontId="50" fillId="0" borderId="0" xfId="0" applyFont="1" applyAlignment="1">
      <alignment horizontal="left" vertical="center" indent="7"/>
    </xf>
    <xf numFmtId="0" fontId="51" fillId="16" borderId="25" xfId="3" applyFont="1" applyFill="1" applyBorder="1" applyAlignment="1">
      <alignment horizontal="left" vertical="center" indent="1"/>
    </xf>
    <xf numFmtId="0" fontId="52" fillId="16" borderId="26" xfId="3" applyFont="1" applyFill="1" applyBorder="1" applyAlignment="1">
      <alignment horizontal="left" vertical="center" indent="1"/>
    </xf>
    <xf numFmtId="0" fontId="59" fillId="16" borderId="26" xfId="3" applyFont="1" applyFill="1" applyBorder="1" applyAlignment="1">
      <alignment horizontal="left" vertical="center" indent="1"/>
    </xf>
    <xf numFmtId="0" fontId="106" fillId="14" borderId="0" xfId="17" applyFont="1" applyFill="1" applyAlignment="1">
      <alignment horizontal="left"/>
    </xf>
    <xf numFmtId="0" fontId="41" fillId="14" borderId="0" xfId="17" applyFont="1" applyFill="1" applyAlignment="1">
      <alignment horizontal="left"/>
    </xf>
    <xf numFmtId="0" fontId="42" fillId="14" borderId="0" xfId="17" applyFont="1" applyFill="1"/>
    <xf numFmtId="0" fontId="2" fillId="2" borderId="1" xfId="18" applyFont="1" applyFill="1" applyBorder="1" applyAlignment="1" applyProtection="1">
      <protection locked="0"/>
    </xf>
    <xf numFmtId="0" fontId="3" fillId="2" borderId="1" xfId="18" applyFont="1" applyFill="1" applyBorder="1" applyAlignment="1" applyProtection="1">
      <protection locked="0"/>
    </xf>
    <xf numFmtId="0" fontId="6" fillId="3" borderId="0" xfId="18" applyFont="1" applyFill="1" applyAlignment="1" applyProtection="1">
      <alignment vertical="center"/>
      <protection locked="0"/>
    </xf>
    <xf numFmtId="0" fontId="7" fillId="3" borderId="0" xfId="18" applyFont="1" applyFill="1" applyAlignment="1" applyProtection="1">
      <alignment vertical="center"/>
      <protection locked="0"/>
    </xf>
    <xf numFmtId="0" fontId="14" fillId="0" borderId="0" xfId="9" applyBorder="1" applyAlignment="1">
      <alignment horizontal="right"/>
    </xf>
    <xf numFmtId="0" fontId="14" fillId="0" borderId="13" xfId="9" applyAlignment="1">
      <alignment horizontal="right"/>
    </xf>
    <xf numFmtId="0" fontId="13" fillId="0" borderId="0" xfId="9" applyFont="1" applyBorder="1" applyAlignment="1">
      <alignment horizontal="left" wrapText="1"/>
    </xf>
    <xf numFmtId="0" fontId="13" fillId="0" borderId="13" xfId="9" applyFont="1" applyAlignment="1">
      <alignment horizontal="left" wrapText="1"/>
    </xf>
    <xf numFmtId="189" fontId="115" fillId="0" borderId="43" xfId="0" applyNumberFormat="1" applyFont="1" applyBorder="1" applyAlignment="1">
      <alignment horizontal="center" vertical="center"/>
    </xf>
  </cellXfs>
  <cellStyles count="27">
    <cellStyle name="Month" xfId="4" xr:uid="{00000000-0005-0000-0000-000031000000}"/>
    <cellStyle name="Totals" xfId="5" xr:uid="{00000000-0005-0000-0000-000032000000}"/>
    <cellStyle name="百分比 2" xfId="6" xr:uid="{00000000-0005-0000-0000-000033000000}"/>
    <cellStyle name="标题 1" xfId="1" builtinId="16"/>
    <cellStyle name="标题 1 2" xfId="7" xr:uid="{00000000-0005-0000-0000-000034000000}"/>
    <cellStyle name="标题 1 3" xfId="8" xr:uid="{00000000-0005-0000-0000-000035000000}"/>
    <cellStyle name="标题 2" xfId="2" builtinId="17"/>
    <cellStyle name="标题 2 2" xfId="9" xr:uid="{00000000-0005-0000-0000-000036000000}"/>
    <cellStyle name="标题 2 3" xfId="10" xr:uid="{00000000-0005-0000-0000-000037000000}"/>
    <cellStyle name="标题 3" xfId="3" builtinId="18"/>
    <cellStyle name="标题 3 2" xfId="11" xr:uid="{00000000-0005-0000-0000-000038000000}"/>
    <cellStyle name="标题 5" xfId="12" xr:uid="{00000000-0005-0000-0000-000039000000}"/>
    <cellStyle name="标题 6" xfId="13" xr:uid="{00000000-0005-0000-0000-00003A000000}"/>
    <cellStyle name="表格详细信息" xfId="14" xr:uid="{00000000-0005-0000-0000-00003B000000}"/>
    <cellStyle name="常规" xfId="0" builtinId="0"/>
    <cellStyle name="常规 2" xfId="15" xr:uid="{00000000-0005-0000-0000-00003C000000}"/>
    <cellStyle name="常规 3" xfId="16" xr:uid="{00000000-0005-0000-0000-00003D000000}"/>
    <cellStyle name="常规 4" xfId="17" xr:uid="{00000000-0005-0000-0000-00003E000000}"/>
    <cellStyle name="常规 5" xfId="18" xr:uid="{00000000-0005-0000-0000-00003F000000}"/>
    <cellStyle name="电话" xfId="19" xr:uid="{00000000-0005-0000-0000-000040000000}"/>
    <cellStyle name="货币[0] 2" xfId="20" xr:uid="{00000000-0005-0000-0000-000041000000}"/>
    <cellStyle name="强调 1" xfId="21" xr:uid="{00000000-0005-0000-0000-000042000000}"/>
    <cellStyle name="强调 2" xfId="22" xr:uid="{00000000-0005-0000-0000-000043000000}"/>
    <cellStyle name="日期" xfId="23" xr:uid="{00000000-0005-0000-0000-000044000000}"/>
    <cellStyle name="填写收入" xfId="24" xr:uid="{00000000-0005-0000-0000-000045000000}"/>
    <cellStyle name="填写销售成本" xfId="25" xr:uid="{00000000-0005-0000-0000-000046000000}"/>
    <cellStyle name="填写支出" xfId="26" xr:uid="{00000000-0005-0000-0000-000047000000}"/>
  </cellStyles>
  <dxfs count="388">
    <dxf>
      <font>
        <color indexed="1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strike val="0"/>
        <u val="none"/>
        <color theme="1" tint="0.24994659260841701"/>
        <name val="Microsoft YaHei UI"/>
        <family val="2"/>
        <charset val="134"/>
        <scheme val="none"/>
      </font>
      <numFmt numFmtId="176" formatCode="_ * #,##0.00_ ;_ * \-#,##0.00_ ;_ * &quot;-&quot;??_ ;_ @_ "/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strike val="0"/>
        <u val="none"/>
        <color theme="1" tint="0.24994659260841701"/>
        <name val="Microsoft YaHei UI"/>
        <family val="2"/>
        <charset val="134"/>
        <scheme val="none"/>
      </font>
      <numFmt numFmtId="176" formatCode="_ * #,##0.00_ ;_ * \-#,##0.00_ ;_ * &quot;-&quot;??_ ;_ @_ "/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strike val="0"/>
        <u val="none"/>
        <color theme="1" tint="0.24994659260841701"/>
        <name val="Microsoft YaHei UI"/>
        <family val="2"/>
        <charset val="134"/>
        <scheme val="none"/>
      </font>
      <numFmt numFmtId="176" formatCode="_ * #,##0.00_ ;_ * \-#,##0.00_ ;_ * &quot;-&quot;??_ ;_ @_ "/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strike val="0"/>
        <u val="none"/>
        <color theme="1" tint="0.24994659260841701"/>
        <name val="Microsoft YaHei UI"/>
        <family val="2"/>
        <charset val="134"/>
        <scheme val="none"/>
      </font>
      <numFmt numFmtId="176" formatCode="_ * #,##0.00_ ;_ * \-#,##0.00_ ;_ * &quot;-&quot;??_ ;_ @_ "/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strike val="0"/>
        <u val="none"/>
        <color theme="1" tint="0.24994659260841701"/>
        <name val="Microsoft YaHei UI"/>
        <family val="2"/>
        <charset val="134"/>
        <scheme val="none"/>
      </font>
      <numFmt numFmtId="176" formatCode="_ * #,##0.00_ ;_ * \-#,##0.00_ ;_ * &quot;-&quot;??_ ;_ @_ "/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strike val="0"/>
        <u val="none"/>
        <color theme="1" tint="0.24994659260841701"/>
        <name val="Microsoft YaHei UI"/>
        <family val="2"/>
        <charset val="134"/>
        <scheme val="none"/>
      </font>
      <numFmt numFmtId="176" formatCode="_ * #,##0.00_ ;_ * \-#,##0.00_ ;_ * &quot;-&quot;??_ ;_ @_ "/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strike val="0"/>
        <u val="none"/>
        <color theme="1" tint="0.24994659260841701"/>
        <name val="Microsoft YaHei UI"/>
        <family val="2"/>
        <charset val="134"/>
        <scheme val="none"/>
      </font>
      <numFmt numFmtId="176" formatCode="_ * #,##0.00_ ;_ * \-#,##0.00_ ;_ * &quot;-&quot;??_ ;_ @_ "/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strike val="0"/>
        <u val="none"/>
        <color theme="1" tint="0.24994659260841701"/>
        <name val="Microsoft YaHei UI"/>
        <family val="2"/>
        <charset val="134"/>
        <scheme val="none"/>
      </font>
      <numFmt numFmtId="176" formatCode="_ * #,##0.00_ ;_ * \-#,##0.00_ ;_ * &quot;-&quot;??_ ;_ @_ "/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strike val="0"/>
        <u val="none"/>
        <color theme="1" tint="0.24994659260841701"/>
        <name val="Microsoft YaHei UI"/>
        <family val="2"/>
        <charset val="134"/>
        <scheme val="none"/>
      </font>
      <numFmt numFmtId="176" formatCode="_ * #,##0.00_ ;_ * \-#,##0.00_ ;_ * &quot;-&quot;??_ ;_ @_ "/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strike val="0"/>
        <u val="none"/>
        <color theme="1" tint="0.24994659260841701"/>
        <name val="Microsoft YaHei UI"/>
        <family val="2"/>
        <charset val="134"/>
        <scheme val="none"/>
      </font>
      <numFmt numFmtId="176" formatCode="_ * #,##0.00_ ;_ * \-#,##0.00_ ;_ * &quot;-&quot;??_ ;_ @_ "/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strike val="0"/>
        <u val="none"/>
        <color theme="1" tint="0.24994659260841701"/>
        <name val="Microsoft YaHei UI"/>
        <family val="2"/>
        <charset val="134"/>
        <scheme val="none"/>
      </font>
      <numFmt numFmtId="176" formatCode="_ * #,##0.00_ ;_ * \-#,##0.00_ ;_ * &quot;-&quot;??_ ;_ @_ "/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strike val="0"/>
        <u val="none"/>
        <color theme="1" tint="0.24994659260841701"/>
        <name val="Microsoft YaHei UI"/>
        <family val="2"/>
        <charset val="134"/>
        <scheme val="none"/>
      </font>
      <numFmt numFmtId="176" formatCode="_ * #,##0.00_ ;_ * \-#,##0.00_ ;_ * &quot;-&quot;??_ ;_ @_ "/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strike val="0"/>
        <u val="none"/>
        <color theme="1" tint="0.24994659260841701"/>
        <name val="Microsoft YaHei UI"/>
        <family val="2"/>
        <charset val="134"/>
        <scheme val="none"/>
      </font>
      <numFmt numFmtId="176" formatCode="_ * #,##0.00_ ;_ * \-#,##0.00_ ;_ * &quot;-&quot;??_ ;_ @_ "/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strike val="0"/>
        <u val="none"/>
        <name val="Microsoft YaHei UI"/>
        <family val="2"/>
        <charset val="134"/>
        <scheme val="none"/>
      </font>
      <alignment wrapText="1"/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strike val="0"/>
        <u val="none"/>
        <color theme="1" tint="0.24994659260841701"/>
        <name val="Microsoft YaHei UI"/>
        <family val="2"/>
        <charset val="134"/>
        <scheme val="none"/>
      </font>
      <numFmt numFmtId="176" formatCode="_ * #,##0.00_ ;_ * \-#,##0.00_ ;_ * &quot;-&quot;??_ ;_ @_ "/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strike val="0"/>
        <u val="none"/>
        <color theme="1" tint="0.24994659260841701"/>
        <name val="Microsoft YaHei UI"/>
        <family val="2"/>
        <charset val="134"/>
        <scheme val="none"/>
      </font>
      <numFmt numFmtId="176" formatCode="_ * #,##0.00_ ;_ * \-#,##0.00_ ;_ * &quot;-&quot;??_ ;_ @_ "/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strike val="0"/>
        <u val="none"/>
        <color theme="1" tint="0.24994659260841701"/>
        <name val="Microsoft YaHei UI"/>
        <family val="2"/>
        <charset val="134"/>
        <scheme val="none"/>
      </font>
      <numFmt numFmtId="176" formatCode="_ * #,##0.00_ ;_ * \-#,##0.00_ ;_ * &quot;-&quot;??_ ;_ @_ "/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strike val="0"/>
        <u val="none"/>
        <color theme="1" tint="0.24994659260841701"/>
        <name val="Microsoft YaHei UI"/>
        <family val="2"/>
        <charset val="134"/>
        <scheme val="none"/>
      </font>
      <numFmt numFmtId="176" formatCode="_ * #,##0.00_ ;_ * \-#,##0.00_ ;_ * &quot;-&quot;??_ ;_ @_ "/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strike val="0"/>
        <u val="none"/>
        <color theme="1" tint="0.24994659260841701"/>
        <name val="Microsoft YaHei UI"/>
        <family val="2"/>
        <charset val="134"/>
        <scheme val="none"/>
      </font>
      <numFmt numFmtId="176" formatCode="_ * #,##0.00_ ;_ * \-#,##0.00_ ;_ * &quot;-&quot;??_ ;_ @_ "/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strike val="0"/>
        <u val="none"/>
        <color theme="1" tint="0.24994659260841701"/>
        <name val="Microsoft YaHei UI"/>
        <family val="2"/>
        <charset val="134"/>
        <scheme val="none"/>
      </font>
      <numFmt numFmtId="176" formatCode="_ * #,##0.00_ ;_ * \-#,##0.00_ ;_ * &quot;-&quot;??_ ;_ @_ "/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strike val="0"/>
        <u val="none"/>
        <color theme="1" tint="0.24994659260841701"/>
        <name val="Microsoft YaHei UI"/>
        <family val="2"/>
        <charset val="134"/>
        <scheme val="none"/>
      </font>
      <numFmt numFmtId="176" formatCode="_ * #,##0.00_ ;_ * \-#,##0.00_ ;_ * &quot;-&quot;??_ ;_ @_ "/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strike val="0"/>
        <u val="none"/>
        <color theme="1" tint="0.24994659260841701"/>
        <name val="Microsoft YaHei UI"/>
        <family val="2"/>
        <charset val="134"/>
        <scheme val="none"/>
      </font>
      <numFmt numFmtId="176" formatCode="_ * #,##0.00_ ;_ * \-#,##0.00_ ;_ * &quot;-&quot;??_ ;_ @_ "/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strike val="0"/>
        <u val="none"/>
        <color theme="1" tint="0.24994659260841701"/>
        <name val="Microsoft YaHei UI"/>
        <family val="2"/>
        <charset val="134"/>
        <scheme val="none"/>
      </font>
      <numFmt numFmtId="176" formatCode="_ * #,##0.00_ ;_ * \-#,##0.00_ ;_ * &quot;-&quot;??_ ;_ @_ "/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strike val="0"/>
        <u val="none"/>
        <color theme="1" tint="0.24994659260841701"/>
        <name val="Microsoft YaHei UI"/>
        <family val="2"/>
        <charset val="134"/>
        <scheme val="none"/>
      </font>
      <numFmt numFmtId="176" formatCode="_ * #,##0.00_ ;_ * \-#,##0.00_ ;_ * &quot;-&quot;??_ ;_ @_ "/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strike val="0"/>
        <u val="none"/>
        <color theme="1" tint="0.24994659260841701"/>
        <name val="Microsoft YaHei UI"/>
        <family val="2"/>
        <charset val="134"/>
        <scheme val="none"/>
      </font>
      <numFmt numFmtId="176" formatCode="_ * #,##0.00_ ;_ * \-#,##0.00_ ;_ * &quot;-&quot;??_ ;_ @_ "/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strike val="0"/>
        <u val="none"/>
        <name val="Microsoft YaHei UI"/>
        <family val="2"/>
        <charset val="134"/>
        <scheme val="none"/>
      </font>
      <numFmt numFmtId="176" formatCode="_ * #,##0.00_ ;_ * \-#,##0.00_ ;_ * &quot;-&quot;??_ ;_ @_ "/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strike val="0"/>
        <u val="none"/>
        <name val="Microsoft YaHei UI"/>
        <family val="2"/>
        <charset val="134"/>
        <scheme val="none"/>
      </font>
      <numFmt numFmtId="176" formatCode="_ * #,##0.00_ ;_ * \-#,##0.00_ ;_ * &quot;-&quot;??_ ;_ @_ "/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strike val="0"/>
        <u val="none"/>
        <name val="Microsoft YaHei UI"/>
        <family val="2"/>
        <charset val="134"/>
        <scheme val="none"/>
      </font>
      <alignment wrapText="1"/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strike val="0"/>
        <u val="none"/>
        <color theme="1" tint="0.24994659260841701"/>
        <name val="Microsoft YaHei UI"/>
        <family val="2"/>
        <charset val="134"/>
        <scheme val="none"/>
      </font>
      <numFmt numFmtId="176" formatCode="_ * #,##0.00_ ;_ * \-#,##0.00_ ;_ * &quot;-&quot;??_ ;_ @_ "/>
      <border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font>
        <strike val="0"/>
        <u val="none"/>
        <color theme="1" tint="0.24994659260841701"/>
        <name val="Microsoft YaHei UI"/>
        <family val="2"/>
        <charset val="134"/>
        <scheme val="none"/>
      </font>
      <numFmt numFmtId="176" formatCode="_ * #,##0.00_ ;_ * \-#,##0.00_ ;_ * &quot;-&quot;??_ ;_ @_ "/>
      <border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font>
        <strike val="0"/>
        <u val="none"/>
        <color theme="1" tint="0.24994659260841701"/>
        <name val="Microsoft YaHei UI"/>
        <family val="2"/>
        <charset val="134"/>
        <scheme val="none"/>
      </font>
      <numFmt numFmtId="176" formatCode="_ * #,##0.00_ ;_ * \-#,##0.00_ ;_ * &quot;-&quot;??_ ;_ @_ "/>
      <border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font>
        <strike val="0"/>
        <u val="none"/>
        <color theme="1" tint="0.24994659260841701"/>
        <name val="Microsoft YaHei UI"/>
        <family val="2"/>
        <charset val="134"/>
        <scheme val="none"/>
      </font>
      <numFmt numFmtId="176" formatCode="_ * #,##0.00_ ;_ * \-#,##0.00_ ;_ * &quot;-&quot;??_ ;_ @_ "/>
      <border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font>
        <strike val="0"/>
        <u val="none"/>
        <color theme="1" tint="0.24994659260841701"/>
        <name val="Microsoft YaHei UI"/>
        <family val="2"/>
        <charset val="134"/>
        <scheme val="none"/>
      </font>
      <numFmt numFmtId="176" formatCode="_ * #,##0.00_ ;_ * \-#,##0.00_ ;_ * &quot;-&quot;??_ ;_ @_ "/>
      <border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font>
        <strike val="0"/>
        <u val="none"/>
        <color theme="1" tint="0.24994659260841701"/>
        <name val="Microsoft YaHei UI"/>
        <family val="2"/>
        <charset val="134"/>
        <scheme val="none"/>
      </font>
      <numFmt numFmtId="176" formatCode="_ * #,##0.00_ ;_ * \-#,##0.00_ ;_ * &quot;-&quot;??_ ;_ @_ "/>
      <border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font>
        <strike val="0"/>
        <u val="none"/>
        <color theme="1" tint="0.24994659260841701"/>
        <name val="Microsoft YaHei UI"/>
        <family val="2"/>
        <charset val="134"/>
        <scheme val="none"/>
      </font>
      <numFmt numFmtId="176" formatCode="_ * #,##0.00_ ;_ * \-#,##0.00_ ;_ * &quot;-&quot;??_ ;_ @_ "/>
      <border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font>
        <strike val="0"/>
        <u val="none"/>
        <color theme="1" tint="0.24994659260841701"/>
        <name val="Microsoft YaHei UI"/>
        <family val="2"/>
        <charset val="134"/>
        <scheme val="none"/>
      </font>
      <numFmt numFmtId="176" formatCode="_ * #,##0.00_ ;_ * \-#,##0.00_ ;_ * &quot;-&quot;??_ ;_ @_ "/>
      <border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font>
        <strike val="0"/>
        <u val="none"/>
        <color theme="1" tint="0.24994659260841701"/>
        <name val="Microsoft YaHei UI"/>
        <family val="2"/>
        <charset val="134"/>
        <scheme val="none"/>
      </font>
      <numFmt numFmtId="176" formatCode="_ * #,##0.00_ ;_ * \-#,##0.00_ ;_ * &quot;-&quot;??_ ;_ @_ "/>
      <border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font>
        <strike val="0"/>
        <u val="none"/>
        <color theme="1" tint="0.24994659260841701"/>
        <name val="Microsoft YaHei UI"/>
        <family val="2"/>
        <charset val="134"/>
        <scheme val="none"/>
      </font>
      <numFmt numFmtId="176" formatCode="_ * #,##0.00_ ;_ * \-#,##0.00_ ;_ * &quot;-&quot;??_ ;_ @_ "/>
      <border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font>
        <strike val="0"/>
        <u val="none"/>
        <color theme="1" tint="0.24994659260841701"/>
        <name val="Microsoft YaHei UI"/>
        <family val="2"/>
        <charset val="134"/>
        <scheme val="none"/>
      </font>
      <numFmt numFmtId="176" formatCode="_ * #,##0.00_ ;_ * \-#,##0.00_ ;_ * &quot;-&quot;??_ ;_ @_ "/>
      <border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font>
        <strike val="0"/>
        <u val="none"/>
        <color theme="1" tint="0.24994659260841701"/>
        <name val="Microsoft YaHei UI"/>
        <family val="2"/>
        <charset val="134"/>
        <scheme val="none"/>
      </font>
      <numFmt numFmtId="176" formatCode="_ * #,##0.00_ ;_ * \-#,##0.00_ ;_ * &quot;-&quot;??_ ;_ @_ "/>
      <border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font>
        <strike val="0"/>
        <u val="none"/>
        <name val="Microsoft YaHei UI"/>
        <family val="2"/>
        <charset val="134"/>
        <scheme val="none"/>
      </font>
      <numFmt numFmtId="176" formatCode="_ * #,##0.00_ ;_ * \-#,##0.00_ ;_ * &quot;-&quot;??_ ;_ @_ "/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strike val="0"/>
        <u val="none"/>
        <name val="Microsoft YaHei UI"/>
        <family val="2"/>
        <charset val="134"/>
        <scheme val="none"/>
      </font>
      <alignment wrapText="1"/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strike val="0"/>
        <u val="none"/>
        <color theme="1" tint="0.24994659260841701"/>
        <name val="Microsoft YaHei UI"/>
        <family val="2"/>
        <charset val="134"/>
        <scheme val="none"/>
      </font>
      <numFmt numFmtId="176" formatCode="_ * #,##0.00_ ;_ * \-#,##0.00_ ;_ * &quot;-&quot;??_ ;_ @_ "/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strike val="0"/>
        <u val="none"/>
        <color theme="1" tint="0.24994659260841701"/>
        <name val="Microsoft YaHei UI"/>
        <family val="2"/>
        <charset val="134"/>
        <scheme val="none"/>
      </font>
      <numFmt numFmtId="176" formatCode="_ * #,##0.00_ ;_ * \-#,##0.00_ ;_ * &quot;-&quot;??_ ;_ @_ "/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strike val="0"/>
        <u val="none"/>
        <color theme="1" tint="0.24994659260841701"/>
        <name val="Microsoft YaHei UI"/>
        <family val="2"/>
        <charset val="134"/>
        <scheme val="none"/>
      </font>
      <numFmt numFmtId="176" formatCode="_ * #,##0.00_ ;_ * \-#,##0.00_ ;_ * &quot;-&quot;??_ ;_ @_ "/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strike val="0"/>
        <u val="none"/>
        <color theme="1" tint="0.24994659260841701"/>
        <name val="Microsoft YaHei UI"/>
        <family val="2"/>
        <charset val="134"/>
        <scheme val="none"/>
      </font>
      <numFmt numFmtId="176" formatCode="_ * #,##0.00_ ;_ * \-#,##0.00_ ;_ * &quot;-&quot;??_ ;_ @_ "/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strike val="0"/>
        <u val="none"/>
        <color theme="1" tint="0.24994659260841701"/>
        <name val="Microsoft YaHei UI"/>
        <family val="2"/>
        <charset val="134"/>
        <scheme val="none"/>
      </font>
      <numFmt numFmtId="176" formatCode="_ * #,##0.00_ ;_ * \-#,##0.00_ ;_ * &quot;-&quot;??_ ;_ @_ "/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strike val="0"/>
        <u val="none"/>
        <color theme="1" tint="0.24994659260841701"/>
        <name val="Microsoft YaHei UI"/>
        <family val="2"/>
        <charset val="134"/>
        <scheme val="none"/>
      </font>
      <numFmt numFmtId="176" formatCode="_ * #,##0.00_ ;_ * \-#,##0.00_ ;_ * &quot;-&quot;??_ ;_ @_ "/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strike val="0"/>
        <u val="none"/>
        <color theme="1" tint="0.24994659260841701"/>
        <name val="Microsoft YaHei UI"/>
        <family val="2"/>
        <charset val="134"/>
        <scheme val="none"/>
      </font>
      <numFmt numFmtId="176" formatCode="_ * #,##0.00_ ;_ * \-#,##0.00_ ;_ * &quot;-&quot;??_ ;_ @_ "/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strike val="0"/>
        <u val="none"/>
        <color theme="1" tint="0.24994659260841701"/>
        <name val="Microsoft YaHei UI"/>
        <family val="2"/>
        <charset val="134"/>
        <scheme val="none"/>
      </font>
      <numFmt numFmtId="176" formatCode="_ * #,##0.00_ ;_ * \-#,##0.00_ ;_ * &quot;-&quot;??_ ;_ @_ "/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strike val="0"/>
        <u val="none"/>
        <color theme="1" tint="0.24994659260841701"/>
        <name val="Microsoft YaHei UI"/>
        <family val="2"/>
        <charset val="134"/>
        <scheme val="none"/>
      </font>
      <numFmt numFmtId="176" formatCode="_ * #,##0.00_ ;_ * \-#,##0.00_ ;_ * &quot;-&quot;??_ ;_ @_ "/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strike val="0"/>
        <u val="none"/>
        <color theme="1" tint="0.24994659260841701"/>
        <name val="Microsoft YaHei UI"/>
        <family val="2"/>
        <charset val="134"/>
        <scheme val="none"/>
      </font>
      <numFmt numFmtId="176" formatCode="_ * #,##0.00_ ;_ * \-#,##0.00_ ;_ * &quot;-&quot;??_ ;_ @_ "/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strike val="0"/>
        <u val="none"/>
        <color theme="1" tint="0.24994659260841701"/>
        <name val="Microsoft YaHei UI"/>
        <family val="2"/>
        <charset val="134"/>
        <scheme val="none"/>
      </font>
      <numFmt numFmtId="176" formatCode="_ * #,##0.00_ ;_ * \-#,##0.00_ ;_ * &quot;-&quot;??_ ;_ @_ "/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strike val="0"/>
        <u val="none"/>
        <color theme="1" tint="0.24994659260841701"/>
        <name val="Microsoft YaHei UI"/>
        <family val="2"/>
        <charset val="134"/>
        <scheme val="none"/>
      </font>
      <numFmt numFmtId="176" formatCode="_ * #,##0.00_ ;_ * \-#,##0.00_ ;_ * &quot;-&quot;??_ ;_ @_ "/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strike val="0"/>
        <u val="none"/>
        <name val="Microsoft YaHei UI"/>
        <family val="2"/>
        <charset val="134"/>
        <scheme val="none"/>
      </font>
      <numFmt numFmtId="176" formatCode="_ * #,##0.00_ ;_ * \-#,##0.00_ ;_ * &quot;-&quot;??_ ;_ @_ "/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strike val="0"/>
        <u val="none"/>
        <name val="Microsoft YaHei UI"/>
        <family val="2"/>
        <charset val="134"/>
        <scheme val="none"/>
      </font>
      <alignment wrapText="1"/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strike val="0"/>
        <u val="none"/>
        <color theme="1" tint="0.24994659260841701"/>
        <name val="Microsoft YaHei UI"/>
        <family val="2"/>
        <charset val="134"/>
        <scheme val="none"/>
      </font>
      <numFmt numFmtId="176" formatCode="_ * #,##0.00_ ;_ * \-#,##0.00_ ;_ * &quot;-&quot;??_ ;_ @_ "/>
      <border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font>
        <strike val="0"/>
        <u val="none"/>
        <color theme="1" tint="0.24994659260841701"/>
        <name val="Microsoft YaHei UI"/>
        <family val="2"/>
        <charset val="134"/>
        <scheme val="none"/>
      </font>
      <numFmt numFmtId="176" formatCode="_ * #,##0.00_ ;_ * \-#,##0.00_ ;_ * &quot;-&quot;??_ ;_ @_ "/>
      <border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font>
        <strike val="0"/>
        <u val="none"/>
        <color theme="1" tint="0.24994659260841701"/>
        <name val="Microsoft YaHei UI"/>
        <family val="2"/>
        <charset val="134"/>
        <scheme val="none"/>
      </font>
      <numFmt numFmtId="176" formatCode="_ * #,##0.00_ ;_ * \-#,##0.00_ ;_ * &quot;-&quot;??_ ;_ @_ "/>
      <border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font>
        <strike val="0"/>
        <u val="none"/>
        <color theme="1" tint="0.24994659260841701"/>
        <name val="Microsoft YaHei UI"/>
        <family val="2"/>
        <charset val="134"/>
        <scheme val="none"/>
      </font>
      <numFmt numFmtId="176" formatCode="_ * #,##0.00_ ;_ * \-#,##0.00_ ;_ * &quot;-&quot;??_ ;_ @_ "/>
      <border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font>
        <strike val="0"/>
        <u val="none"/>
        <color theme="1" tint="0.24994659260841701"/>
        <name val="Microsoft YaHei UI"/>
        <family val="2"/>
        <charset val="134"/>
        <scheme val="none"/>
      </font>
      <numFmt numFmtId="176" formatCode="_ * #,##0.00_ ;_ * \-#,##0.00_ ;_ * &quot;-&quot;??_ ;_ @_ "/>
      <border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font>
        <strike val="0"/>
        <u val="none"/>
        <color theme="1" tint="0.24994659260841701"/>
        <name val="Microsoft YaHei UI"/>
        <family val="2"/>
        <charset val="134"/>
        <scheme val="none"/>
      </font>
      <numFmt numFmtId="176" formatCode="_ * #,##0.00_ ;_ * \-#,##0.00_ ;_ * &quot;-&quot;??_ ;_ @_ "/>
      <border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font>
        <strike val="0"/>
        <u val="none"/>
        <color theme="1" tint="0.24994659260841701"/>
        <name val="Microsoft YaHei UI"/>
        <family val="2"/>
        <charset val="134"/>
        <scheme val="none"/>
      </font>
      <numFmt numFmtId="176" formatCode="_ * #,##0.00_ ;_ * \-#,##0.00_ ;_ * &quot;-&quot;??_ ;_ @_ "/>
      <border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font>
        <strike val="0"/>
        <u val="none"/>
        <color theme="1" tint="0.24994659260841701"/>
        <name val="Microsoft YaHei UI"/>
        <family val="2"/>
        <charset val="134"/>
        <scheme val="none"/>
      </font>
      <numFmt numFmtId="176" formatCode="_ * #,##0.00_ ;_ * \-#,##0.00_ ;_ * &quot;-&quot;??_ ;_ @_ "/>
      <border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font>
        <strike val="0"/>
        <u val="none"/>
        <color theme="1" tint="0.24994659260841701"/>
        <name val="Microsoft YaHei UI"/>
        <family val="2"/>
        <charset val="134"/>
        <scheme val="none"/>
      </font>
      <numFmt numFmtId="176" formatCode="_ * #,##0.00_ ;_ * \-#,##0.00_ ;_ * &quot;-&quot;??_ ;_ @_ "/>
      <border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font>
        <strike val="0"/>
        <u val="none"/>
        <color theme="1" tint="0.24994659260841701"/>
        <name val="Microsoft YaHei UI"/>
        <family val="2"/>
        <charset val="134"/>
        <scheme val="none"/>
      </font>
      <numFmt numFmtId="176" formatCode="_ * #,##0.00_ ;_ * \-#,##0.00_ ;_ * &quot;-&quot;??_ ;_ @_ "/>
      <border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font>
        <strike val="0"/>
        <u val="none"/>
        <color theme="1" tint="0.24994659260841701"/>
        <name val="Microsoft YaHei UI"/>
        <family val="2"/>
        <charset val="134"/>
        <scheme val="none"/>
      </font>
      <numFmt numFmtId="176" formatCode="_ * #,##0.00_ ;_ * \-#,##0.00_ ;_ * &quot;-&quot;??_ ;_ @_ "/>
      <border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font>
        <strike val="0"/>
        <u val="none"/>
        <color theme="1" tint="0.24994659260841701"/>
        <name val="Microsoft YaHei UI"/>
        <family val="2"/>
        <charset val="134"/>
        <scheme val="none"/>
      </font>
      <numFmt numFmtId="176" formatCode="_ * #,##0.00_ ;_ * \-#,##0.00_ ;_ * &quot;-&quot;??_ ;_ @_ "/>
      <border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font>
        <strike val="0"/>
        <u val="none"/>
        <color theme="1" tint="0.24994659260841701"/>
        <name val="Microsoft YaHei UI"/>
        <family val="2"/>
        <charset val="134"/>
        <scheme val="none"/>
      </font>
      <numFmt numFmtId="176" formatCode="_ * #,##0.00_ ;_ * \-#,##0.00_ ;_ * &quot;-&quot;??_ ;_ @_ "/>
      <border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font>
        <strike val="0"/>
        <u val="none"/>
        <name val="Microsoft YaHei UI"/>
        <family val="2"/>
        <charset val="134"/>
        <scheme val="none"/>
      </font>
      <alignment wrapText="1"/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strike val="0"/>
        <u val="none"/>
        <color theme="1" tint="0.24994659260841701"/>
        <name val="Microsoft YaHei UI"/>
        <family val="2"/>
        <charset val="134"/>
        <scheme val="none"/>
      </font>
      <numFmt numFmtId="176" formatCode="_ * #,##0.00_ ;_ * \-#,##0.00_ ;_ * &quot;-&quot;??_ ;_ @_ "/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strike val="0"/>
        <u val="none"/>
        <color theme="1" tint="0.24994659260841701"/>
        <name val="Microsoft YaHei UI"/>
        <family val="2"/>
        <charset val="134"/>
        <scheme val="none"/>
      </font>
      <numFmt numFmtId="176" formatCode="_ * #,##0.00_ ;_ * \-#,##0.00_ ;_ * &quot;-&quot;??_ ;_ @_ "/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strike val="0"/>
        <u val="none"/>
        <color theme="1" tint="0.24994659260841701"/>
        <name val="Microsoft YaHei UI"/>
        <family val="2"/>
        <charset val="134"/>
        <scheme val="none"/>
      </font>
      <numFmt numFmtId="176" formatCode="_ * #,##0.00_ ;_ * \-#,##0.00_ ;_ * &quot;-&quot;??_ ;_ @_ "/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strike val="0"/>
        <u val="none"/>
        <color theme="1" tint="0.24994659260841701"/>
        <name val="Microsoft YaHei UI"/>
        <family val="2"/>
        <charset val="134"/>
        <scheme val="none"/>
      </font>
      <numFmt numFmtId="176" formatCode="_ * #,##0.00_ ;_ * \-#,##0.00_ ;_ * &quot;-&quot;??_ ;_ @_ "/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strike val="0"/>
        <u val="none"/>
        <color theme="1" tint="0.24994659260841701"/>
        <name val="Microsoft YaHei UI"/>
        <family val="2"/>
        <charset val="134"/>
        <scheme val="none"/>
      </font>
      <numFmt numFmtId="176" formatCode="_ * #,##0.00_ ;_ * \-#,##0.00_ ;_ * &quot;-&quot;??_ ;_ @_ "/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strike val="0"/>
        <u val="none"/>
        <color theme="1" tint="0.24994659260841701"/>
        <name val="Microsoft YaHei UI"/>
        <family val="2"/>
        <charset val="134"/>
        <scheme val="none"/>
      </font>
      <numFmt numFmtId="176" formatCode="_ * #,##0.00_ ;_ * \-#,##0.00_ ;_ * &quot;-&quot;??_ ;_ @_ "/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strike val="0"/>
        <u val="none"/>
        <color theme="1" tint="0.24994659260841701"/>
        <name val="Microsoft YaHei UI"/>
        <family val="2"/>
        <charset val="134"/>
        <scheme val="none"/>
      </font>
      <numFmt numFmtId="176" formatCode="_ * #,##0.00_ ;_ * \-#,##0.00_ ;_ * &quot;-&quot;??_ ;_ @_ "/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strike val="0"/>
        <u val="none"/>
        <color theme="1" tint="0.24994659260841701"/>
        <name val="Microsoft YaHei UI"/>
        <family val="2"/>
        <charset val="134"/>
        <scheme val="none"/>
      </font>
      <numFmt numFmtId="176" formatCode="_ * #,##0.00_ ;_ * \-#,##0.00_ ;_ * &quot;-&quot;??_ ;_ @_ "/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strike val="0"/>
        <u val="none"/>
        <color theme="1" tint="0.24994659260841701"/>
        <name val="Microsoft YaHei UI"/>
        <family val="2"/>
        <charset val="134"/>
        <scheme val="none"/>
      </font>
      <numFmt numFmtId="176" formatCode="_ * #,##0.00_ ;_ * \-#,##0.00_ ;_ * &quot;-&quot;??_ ;_ @_ "/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strike val="0"/>
        <u val="none"/>
        <color theme="1" tint="0.24994659260841701"/>
        <name val="Microsoft YaHei UI"/>
        <family val="2"/>
        <charset val="134"/>
        <scheme val="none"/>
      </font>
      <numFmt numFmtId="176" formatCode="_ * #,##0.00_ ;_ * \-#,##0.00_ ;_ * &quot;-&quot;??_ ;_ @_ "/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strike val="0"/>
        <u val="none"/>
        <color theme="1" tint="0.24994659260841701"/>
        <name val="Microsoft YaHei UI"/>
        <family val="2"/>
        <charset val="134"/>
        <scheme val="none"/>
      </font>
      <numFmt numFmtId="176" formatCode="_ * #,##0.00_ ;_ * \-#,##0.00_ ;_ * &quot;-&quot;??_ ;_ @_ "/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strike val="0"/>
        <u val="none"/>
        <name val="Microsoft YaHei UI"/>
        <family val="2"/>
        <charset val="134"/>
        <scheme val="none"/>
      </font>
      <numFmt numFmtId="176" formatCode="_ * #,##0.00_ ;_ * \-#,##0.00_ ;_ * &quot;-&quot;??_ ;_ @_ "/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strike val="0"/>
        <u val="none"/>
        <name val="Microsoft YaHei UI"/>
        <family val="2"/>
        <charset val="134"/>
        <scheme val="none"/>
      </font>
      <numFmt numFmtId="176" formatCode="_ * #,##0.00_ ;_ * \-#,##0.00_ ;_ * &quot;-&quot;??_ ;_ @_ "/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strike val="0"/>
        <u val="none"/>
        <name val="Microsoft YaHei UI"/>
        <family val="2"/>
        <charset val="134"/>
        <scheme val="none"/>
      </font>
      <alignment wrapText="1"/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strike val="0"/>
        <u val="none"/>
        <name val="Microsoft YaHei UI"/>
        <family val="2"/>
        <charset val="134"/>
        <scheme val="none"/>
      </font>
    </dxf>
    <dxf>
      <font>
        <strike val="0"/>
        <u val="none"/>
        <name val="Microsoft YaHei UI"/>
        <family val="2"/>
        <charset val="134"/>
        <scheme val="none"/>
      </font>
    </dxf>
    <dxf>
      <font>
        <strike val="0"/>
        <u val="none"/>
        <name val="Microsoft YaHei UI"/>
        <family val="2"/>
        <charset val="134"/>
        <scheme val="none"/>
      </font>
    </dxf>
    <dxf>
      <font>
        <strike val="0"/>
        <u val="none"/>
        <name val="Microsoft YaHei UI"/>
        <family val="2"/>
        <charset val="134"/>
        <scheme val="none"/>
      </font>
    </dxf>
    <dxf>
      <font>
        <strike val="0"/>
        <u val="none"/>
        <name val="Microsoft YaHei UI"/>
        <family val="2"/>
        <charset val="134"/>
        <scheme val="none"/>
      </font>
    </dxf>
    <dxf>
      <font>
        <strike val="0"/>
        <u val="none"/>
        <name val="Microsoft YaHei UI"/>
        <family val="2"/>
        <charset val="134"/>
        <scheme val="none"/>
      </font>
    </dxf>
    <dxf>
      <font>
        <strike val="0"/>
        <u val="none"/>
        <name val="Microsoft YaHei UI"/>
        <family val="2"/>
        <charset val="134"/>
        <scheme val="none"/>
      </font>
    </dxf>
    <dxf>
      <font>
        <strike val="0"/>
        <u val="none"/>
        <name val="Microsoft YaHei UI"/>
        <family val="2"/>
        <charset val="134"/>
        <scheme val="none"/>
      </font>
    </dxf>
    <dxf>
      <font>
        <strike val="0"/>
        <u val="none"/>
        <name val="Microsoft YaHei UI"/>
        <family val="2"/>
        <charset val="134"/>
        <scheme val="none"/>
      </font>
    </dxf>
    <dxf>
      <font>
        <strike val="0"/>
        <u val="none"/>
        <name val="Microsoft YaHei UI"/>
        <family val="2"/>
        <charset val="134"/>
        <scheme val="none"/>
      </font>
    </dxf>
    <dxf>
      <font>
        <strike val="0"/>
        <u val="none"/>
        <name val="Microsoft YaHei UI"/>
        <family val="2"/>
        <charset val="134"/>
        <scheme val="none"/>
      </font>
    </dxf>
    <dxf>
      <font>
        <strike val="0"/>
        <u val="none"/>
        <name val="Microsoft YaHei UI"/>
        <family val="2"/>
        <charset val="134"/>
        <scheme val="none"/>
      </font>
    </dxf>
    <dxf>
      <font>
        <strike val="0"/>
        <u val="none"/>
        <name val="Microsoft YaHei UI"/>
        <family val="2"/>
        <charset val="134"/>
        <scheme val="none"/>
      </font>
    </dxf>
    <dxf>
      <font>
        <strike val="0"/>
        <u val="none"/>
        <name val="Microsoft YaHei UI"/>
        <family val="2"/>
        <charset val="134"/>
        <scheme val="none"/>
      </font>
    </dxf>
    <dxf>
      <font>
        <strike val="0"/>
        <u val="none"/>
        <name val="Microsoft YaHei UI"/>
        <family val="2"/>
        <charset val="134"/>
        <scheme val="none"/>
      </font>
    </dxf>
    <dxf>
      <font>
        <strike val="0"/>
        <u val="none"/>
        <name val="Microsoft YaHei UI"/>
        <family val="2"/>
        <charset val="134"/>
        <scheme val="none"/>
      </font>
    </dxf>
    <dxf>
      <font>
        <b val="0"/>
        <i val="0"/>
        <strike val="0"/>
        <u val="none"/>
        <sz val="10"/>
        <color theme="1"/>
        <name val="Microsoft YaHei UI"/>
        <family val="2"/>
        <charset val="134"/>
        <scheme val="none"/>
      </font>
      <numFmt numFmtId="13" formatCode="0%"/>
      <alignment horizontal="center" vertical="center"/>
    </dxf>
    <dxf>
      <font>
        <b val="0"/>
        <i val="0"/>
        <strike val="0"/>
        <u val="none"/>
        <sz val="10"/>
        <color theme="1"/>
        <name val="Microsoft YaHei UI"/>
        <family val="2"/>
        <charset val="134"/>
        <scheme val="none"/>
      </font>
      <numFmt numFmtId="13" formatCode="0%"/>
      <alignment horizontal="center" vertical="center"/>
    </dxf>
    <dxf>
      <font>
        <b val="0"/>
        <i val="0"/>
        <strike val="0"/>
        <u val="none"/>
        <sz val="10"/>
        <color theme="1"/>
        <name val="Microsoft YaHei UI"/>
        <family val="2"/>
        <charset val="134"/>
        <scheme val="none"/>
      </font>
      <numFmt numFmtId="13" formatCode="0%"/>
      <alignment horizontal="center" vertical="center"/>
    </dxf>
    <dxf>
      <font>
        <b val="0"/>
        <i val="0"/>
        <strike val="0"/>
        <u val="none"/>
        <sz val="10"/>
        <color theme="1"/>
        <name val="Microsoft YaHei UI"/>
        <family val="2"/>
        <charset val="134"/>
        <scheme val="none"/>
      </font>
      <numFmt numFmtId="13" formatCode="0%"/>
      <alignment horizontal="center" vertical="center"/>
    </dxf>
    <dxf>
      <font>
        <b val="0"/>
        <i val="0"/>
        <strike val="0"/>
        <u val="none"/>
        <sz val="10"/>
        <color theme="1"/>
        <name val="Microsoft YaHei UI"/>
        <family val="2"/>
        <charset val="134"/>
        <scheme val="none"/>
      </font>
      <numFmt numFmtId="13" formatCode="0%"/>
      <alignment horizontal="center" vertical="center"/>
    </dxf>
    <dxf>
      <font>
        <b val="0"/>
        <i val="0"/>
        <strike val="0"/>
        <u val="none"/>
        <sz val="10"/>
        <color theme="1"/>
        <name val="Microsoft YaHei UI"/>
        <family val="2"/>
        <charset val="134"/>
        <scheme val="none"/>
      </font>
      <numFmt numFmtId="13" formatCode="0%"/>
      <alignment horizontal="center" vertical="center"/>
    </dxf>
    <dxf>
      <font>
        <b val="0"/>
        <i val="0"/>
        <strike val="0"/>
        <u val="none"/>
        <sz val="10"/>
        <color theme="1"/>
        <name val="Microsoft YaHei UI"/>
        <family val="2"/>
        <charset val="134"/>
        <scheme val="none"/>
      </font>
      <numFmt numFmtId="13" formatCode="0%"/>
      <alignment horizontal="center" vertical="center"/>
    </dxf>
    <dxf>
      <font>
        <b val="0"/>
        <i val="0"/>
        <strike val="0"/>
        <u val="none"/>
        <sz val="10"/>
        <color theme="1"/>
        <name val="Microsoft YaHei UI"/>
        <family val="2"/>
        <charset val="134"/>
        <scheme val="none"/>
      </font>
      <numFmt numFmtId="13" formatCode="0%"/>
      <alignment horizontal="center" vertical="center"/>
    </dxf>
    <dxf>
      <font>
        <b val="0"/>
        <i val="0"/>
        <strike val="0"/>
        <u val="none"/>
        <sz val="10"/>
        <color theme="1"/>
        <name val="Microsoft YaHei UI"/>
        <family val="2"/>
        <charset val="134"/>
        <scheme val="none"/>
      </font>
      <numFmt numFmtId="13" formatCode="0%"/>
      <alignment horizontal="center" vertical="center"/>
    </dxf>
    <dxf>
      <font>
        <b val="0"/>
        <i val="0"/>
        <strike val="0"/>
        <u val="none"/>
        <sz val="10"/>
        <color theme="1"/>
        <name val="Microsoft YaHei UI"/>
        <family val="2"/>
        <charset val="134"/>
        <scheme val="none"/>
      </font>
      <numFmt numFmtId="13" formatCode="0%"/>
      <alignment horizontal="center" vertical="center"/>
    </dxf>
    <dxf>
      <font>
        <b val="0"/>
        <i val="0"/>
        <strike val="0"/>
        <u val="none"/>
        <sz val="10"/>
        <color theme="1"/>
        <name val="Microsoft YaHei UI"/>
        <family val="2"/>
        <charset val="134"/>
        <scheme val="none"/>
      </font>
      <numFmt numFmtId="13" formatCode="0%"/>
      <alignment horizontal="center" vertical="center"/>
    </dxf>
    <dxf>
      <font>
        <b val="0"/>
        <i val="0"/>
        <strike val="0"/>
        <u val="none"/>
        <sz val="10"/>
        <color theme="1"/>
        <name val="Microsoft YaHei UI"/>
        <family val="2"/>
        <charset val="134"/>
        <scheme val="none"/>
      </font>
      <numFmt numFmtId="13" formatCode="0%"/>
      <alignment horizontal="center" vertical="center"/>
    </dxf>
    <dxf>
      <font>
        <b val="0"/>
        <i val="0"/>
        <strike val="0"/>
        <u val="none"/>
        <sz val="10"/>
        <color theme="1"/>
        <name val="Microsoft YaHei UI"/>
        <family val="2"/>
        <charset val="134"/>
        <scheme val="none"/>
      </font>
      <numFmt numFmtId="13" formatCode="0%"/>
      <alignment horizontal="center" vertical="center"/>
    </dxf>
    <dxf>
      <font>
        <b val="0"/>
        <i val="0"/>
        <strike val="0"/>
        <u val="none"/>
        <sz val="10"/>
        <color theme="1"/>
        <name val="Microsoft YaHei UI"/>
        <family val="2"/>
        <charset val="134"/>
        <scheme val="none"/>
      </font>
      <alignment horizontal="center" vertical="center"/>
    </dxf>
    <dxf>
      <font>
        <strike val="0"/>
        <u val="none"/>
        <sz val="11"/>
        <color theme="1"/>
        <name val="Microsoft YaHei UI"/>
        <family val="2"/>
        <charset val="134"/>
        <scheme val="none"/>
      </font>
      <alignment horizontal="left" vertical="center"/>
    </dxf>
    <dxf>
      <font>
        <strike val="0"/>
        <u val="none"/>
        <sz val="10"/>
        <color theme="1"/>
        <name val="Microsoft YaHei UI"/>
        <family val="2"/>
        <charset val="134"/>
        <scheme val="none"/>
      </font>
      <alignment horizontal="left" vertical="center" indent="1"/>
    </dxf>
    <dxf>
      <font>
        <b val="0"/>
        <i val="0"/>
        <strike val="0"/>
        <u val="none"/>
        <sz val="10"/>
        <color auto="1"/>
        <name val="Microsoft YaHei UI"/>
        <family val="2"/>
        <charset val="134"/>
        <scheme val="none"/>
      </font>
      <fill>
        <patternFill patternType="solid">
          <bgColor theme="5" tint="0.59999389629810485"/>
        </patternFill>
      </fill>
      <alignment horizontal="center" vertical="center"/>
    </dxf>
    <dxf>
      <font>
        <b val="0"/>
        <i val="0"/>
        <strike val="0"/>
        <u val="none"/>
        <sz val="10"/>
        <color auto="1"/>
        <name val="Microsoft YaHei UI"/>
        <family val="2"/>
        <charset val="134"/>
        <scheme val="none"/>
      </font>
      <fill>
        <patternFill patternType="solid">
          <bgColor theme="5" tint="0.59999389629810485"/>
        </patternFill>
      </fill>
      <alignment horizontal="center" vertical="center"/>
    </dxf>
    <dxf>
      <font>
        <b val="0"/>
        <i val="0"/>
        <strike val="0"/>
        <u val="none"/>
        <sz val="10"/>
        <color auto="1"/>
        <name val="Microsoft YaHei UI"/>
        <family val="2"/>
        <charset val="134"/>
        <scheme val="none"/>
      </font>
      <fill>
        <patternFill patternType="solid">
          <bgColor theme="5" tint="0.59999389629810485"/>
        </patternFill>
      </fill>
      <alignment horizontal="center" vertical="center"/>
    </dxf>
    <dxf>
      <font>
        <b val="0"/>
        <i val="0"/>
        <strike val="0"/>
        <u val="none"/>
        <sz val="10"/>
        <color auto="1"/>
        <name val="Microsoft YaHei UI"/>
        <family val="2"/>
        <charset val="134"/>
        <scheme val="none"/>
      </font>
      <fill>
        <patternFill patternType="solid">
          <bgColor theme="5" tint="0.59999389629810485"/>
        </patternFill>
      </fill>
      <alignment horizontal="center" vertical="center"/>
    </dxf>
    <dxf>
      <font>
        <b val="0"/>
        <i val="0"/>
        <strike val="0"/>
        <u val="none"/>
        <sz val="10"/>
        <color auto="1"/>
        <name val="Microsoft YaHei UI"/>
        <family val="2"/>
        <charset val="134"/>
        <scheme val="none"/>
      </font>
      <fill>
        <patternFill patternType="solid">
          <bgColor theme="5" tint="0.59999389629810485"/>
        </patternFill>
      </fill>
      <alignment horizontal="center" vertical="center"/>
    </dxf>
    <dxf>
      <font>
        <b val="0"/>
        <i val="0"/>
        <strike val="0"/>
        <u val="none"/>
        <sz val="10"/>
        <color auto="1"/>
        <name val="Microsoft YaHei UI"/>
        <family val="2"/>
        <charset val="134"/>
        <scheme val="none"/>
      </font>
      <fill>
        <patternFill patternType="solid">
          <bgColor theme="5" tint="0.59999389629810485"/>
        </patternFill>
      </fill>
      <alignment horizontal="center" vertical="center"/>
    </dxf>
    <dxf>
      <font>
        <b val="0"/>
        <i val="0"/>
        <strike val="0"/>
        <u val="none"/>
        <sz val="10"/>
        <color auto="1"/>
        <name val="Microsoft YaHei UI"/>
        <family val="2"/>
        <charset val="134"/>
        <scheme val="none"/>
      </font>
      <fill>
        <patternFill patternType="solid">
          <bgColor theme="5" tint="0.59999389629810485"/>
        </patternFill>
      </fill>
      <alignment horizontal="center" vertical="center"/>
    </dxf>
    <dxf>
      <font>
        <b val="0"/>
        <i val="0"/>
        <strike val="0"/>
        <u val="none"/>
        <sz val="10"/>
        <color auto="1"/>
        <name val="Microsoft YaHei UI"/>
        <family val="2"/>
        <charset val="134"/>
        <scheme val="none"/>
      </font>
      <fill>
        <patternFill patternType="solid">
          <bgColor theme="5" tint="0.59999389629810485"/>
        </patternFill>
      </fill>
      <alignment horizontal="center" vertical="center"/>
    </dxf>
    <dxf>
      <font>
        <b val="0"/>
        <i val="0"/>
        <strike val="0"/>
        <u val="none"/>
        <sz val="10"/>
        <color auto="1"/>
        <name val="Microsoft YaHei UI"/>
        <family val="2"/>
        <charset val="134"/>
        <scheme val="none"/>
      </font>
      <fill>
        <patternFill patternType="solid">
          <bgColor theme="5" tint="0.59999389629810485"/>
        </patternFill>
      </fill>
      <alignment horizontal="center" vertical="center"/>
    </dxf>
    <dxf>
      <font>
        <b val="0"/>
        <i val="0"/>
        <strike val="0"/>
        <u val="none"/>
        <sz val="10"/>
        <color auto="1"/>
        <name val="Microsoft YaHei UI"/>
        <family val="2"/>
        <charset val="134"/>
        <scheme val="none"/>
      </font>
      <fill>
        <patternFill patternType="solid">
          <bgColor theme="5" tint="0.59999389629810485"/>
        </patternFill>
      </fill>
      <alignment horizontal="center" vertical="center"/>
    </dxf>
    <dxf>
      <font>
        <b val="0"/>
        <i val="0"/>
        <strike val="0"/>
        <u val="none"/>
        <sz val="10"/>
        <color auto="1"/>
        <name val="Microsoft YaHei UI"/>
        <family val="2"/>
        <charset val="134"/>
        <scheme val="none"/>
      </font>
      <fill>
        <patternFill patternType="solid">
          <bgColor theme="5" tint="0.59999389629810485"/>
        </patternFill>
      </fill>
      <alignment horizontal="center" vertical="center"/>
    </dxf>
    <dxf>
      <font>
        <b val="0"/>
        <i val="0"/>
        <strike val="0"/>
        <u val="none"/>
        <sz val="10"/>
        <color auto="1"/>
        <name val="Microsoft YaHei UI"/>
        <family val="2"/>
        <charset val="134"/>
        <scheme val="none"/>
      </font>
      <fill>
        <patternFill patternType="solid">
          <bgColor theme="5" tint="0.59999389629810485"/>
        </patternFill>
      </fill>
      <alignment horizontal="center" vertical="center"/>
    </dxf>
    <dxf>
      <font>
        <b val="0"/>
        <i val="0"/>
        <strike val="0"/>
        <u val="none"/>
        <sz val="10"/>
        <color auto="1"/>
        <name val="Microsoft YaHei UI"/>
        <family val="2"/>
        <charset val="134"/>
        <scheme val="none"/>
      </font>
      <fill>
        <patternFill patternType="solid">
          <bgColor theme="5" tint="0.59999389629810485"/>
        </patternFill>
      </fill>
      <alignment horizontal="center" vertical="center"/>
    </dxf>
    <dxf>
      <font>
        <b val="0"/>
        <i val="0"/>
        <strike val="0"/>
        <u val="none"/>
        <sz val="10"/>
        <color auto="1"/>
        <name val="Microsoft YaHei UI"/>
        <family val="2"/>
        <charset val="134"/>
        <scheme val="none"/>
      </font>
      <alignment horizontal="center" vertical="center"/>
    </dxf>
    <dxf>
      <font>
        <b val="0"/>
        <i val="0"/>
        <strike val="0"/>
        <u val="none"/>
        <sz val="10"/>
        <color auto="1"/>
        <name val="Microsoft YaHei UI"/>
        <family val="2"/>
        <charset val="134"/>
        <scheme val="none"/>
      </font>
      <numFmt numFmtId="183" formatCode="\¥#,##0.00_);\(\¥#,##0.00\)"/>
      <fill>
        <patternFill patternType="solid">
          <bgColor theme="5" tint="0.59999389629810485"/>
        </patternFill>
      </fill>
      <alignment horizontal="center" vertical="center"/>
    </dxf>
    <dxf>
      <font>
        <b val="0"/>
        <i val="0"/>
        <strike val="0"/>
        <u val="none"/>
        <sz val="10"/>
        <color auto="1"/>
        <name val="Microsoft YaHei UI"/>
        <family val="2"/>
        <charset val="134"/>
        <scheme val="none"/>
      </font>
      <numFmt numFmtId="183" formatCode="\¥#,##0.00_);\(\¥#,##0.00\)"/>
      <fill>
        <patternFill patternType="none"/>
      </fill>
      <alignment horizontal="center" vertical="center"/>
    </dxf>
    <dxf>
      <font>
        <b val="0"/>
        <i val="0"/>
        <strike val="0"/>
        <u val="none"/>
        <sz val="10"/>
        <color auto="1"/>
        <name val="Microsoft YaHei UI"/>
        <family val="2"/>
        <charset val="134"/>
        <scheme val="none"/>
      </font>
      <numFmt numFmtId="183" formatCode="\¥#,##0.00_);\(\¥#,##0.00\)"/>
      <fill>
        <patternFill patternType="none"/>
      </fill>
      <alignment horizontal="center" vertical="center"/>
    </dxf>
    <dxf>
      <font>
        <b val="0"/>
        <i val="0"/>
        <strike val="0"/>
        <u val="none"/>
        <sz val="10"/>
        <color auto="1"/>
        <name val="Microsoft YaHei UI"/>
        <family val="2"/>
        <charset val="134"/>
        <scheme val="none"/>
      </font>
      <numFmt numFmtId="183" formatCode="\¥#,##0.00_);\(\¥#,##0.00\)"/>
      <fill>
        <patternFill patternType="none"/>
      </fill>
      <alignment horizontal="center" vertical="center"/>
    </dxf>
    <dxf>
      <font>
        <b val="0"/>
        <i val="0"/>
        <strike val="0"/>
        <u val="none"/>
        <sz val="10"/>
        <color auto="1"/>
        <name val="Microsoft YaHei UI"/>
        <family val="2"/>
        <charset val="134"/>
        <scheme val="none"/>
      </font>
      <numFmt numFmtId="183" formatCode="\¥#,##0.00_);\(\¥#,##0.00\)"/>
      <fill>
        <patternFill patternType="none"/>
      </fill>
      <alignment horizontal="center" vertical="center"/>
    </dxf>
    <dxf>
      <font>
        <b val="0"/>
        <i val="0"/>
        <strike val="0"/>
        <u val="none"/>
        <sz val="10"/>
        <color auto="1"/>
        <name val="Microsoft YaHei UI"/>
        <family val="2"/>
        <charset val="134"/>
        <scheme val="none"/>
      </font>
      <numFmt numFmtId="183" formatCode="\¥#,##0.00_);\(\¥#,##0.00\)"/>
      <fill>
        <patternFill patternType="none"/>
      </fill>
      <alignment horizontal="center" vertical="center"/>
    </dxf>
    <dxf>
      <font>
        <b val="0"/>
        <i val="0"/>
        <strike val="0"/>
        <u val="none"/>
        <sz val="10"/>
        <color auto="1"/>
        <name val="Microsoft YaHei UI"/>
        <family val="2"/>
        <charset val="134"/>
        <scheme val="none"/>
      </font>
      <numFmt numFmtId="183" formatCode="\¥#,##0.00_);\(\¥#,##0.00\)"/>
      <fill>
        <patternFill patternType="none"/>
      </fill>
      <alignment horizontal="center" vertical="center"/>
    </dxf>
    <dxf>
      <font>
        <b val="0"/>
        <i val="0"/>
        <strike val="0"/>
        <u val="none"/>
        <sz val="10"/>
        <color auto="1"/>
        <name val="Microsoft YaHei UI"/>
        <family val="2"/>
        <charset val="134"/>
        <scheme val="none"/>
      </font>
      <numFmt numFmtId="183" formatCode="\¥#,##0.00_);\(\¥#,##0.00\)"/>
      <fill>
        <patternFill patternType="none"/>
      </fill>
      <alignment horizontal="center" vertical="center"/>
    </dxf>
    <dxf>
      <font>
        <b val="0"/>
        <i val="0"/>
        <strike val="0"/>
        <u val="none"/>
        <sz val="10"/>
        <color auto="1"/>
        <name val="Microsoft YaHei UI"/>
        <family val="2"/>
        <charset val="134"/>
        <scheme val="none"/>
      </font>
      <numFmt numFmtId="183" formatCode="\¥#,##0.00_);\(\¥#,##0.00\)"/>
      <fill>
        <patternFill patternType="none"/>
      </fill>
      <alignment horizontal="center" vertical="center"/>
    </dxf>
    <dxf>
      <font>
        <b val="0"/>
        <i val="0"/>
        <strike val="0"/>
        <u val="none"/>
        <sz val="10"/>
        <color auto="1"/>
        <name val="Microsoft YaHei UI"/>
        <family val="2"/>
        <charset val="134"/>
        <scheme val="none"/>
      </font>
      <numFmt numFmtId="183" formatCode="\¥#,##0.00_);\(\¥#,##0.00\)"/>
      <fill>
        <patternFill patternType="none"/>
      </fill>
      <alignment horizontal="center" vertical="center"/>
    </dxf>
    <dxf>
      <font>
        <b val="0"/>
        <i val="0"/>
        <strike val="0"/>
        <u val="none"/>
        <sz val="10"/>
        <color auto="1"/>
        <name val="Microsoft YaHei UI"/>
        <family val="2"/>
        <charset val="134"/>
        <scheme val="none"/>
      </font>
      <numFmt numFmtId="183" formatCode="\¥#,##0.00_);\(\¥#,##0.00\)"/>
      <fill>
        <patternFill patternType="none"/>
      </fill>
      <alignment horizontal="center" vertical="center"/>
    </dxf>
    <dxf>
      <font>
        <b val="0"/>
        <i val="0"/>
        <strike val="0"/>
        <u val="none"/>
        <sz val="10"/>
        <color auto="1"/>
        <name val="Microsoft YaHei UI"/>
        <family val="2"/>
        <charset val="134"/>
        <scheme val="none"/>
      </font>
      <numFmt numFmtId="183" formatCode="\¥#,##0.00_);\(\¥#,##0.00\)"/>
      <fill>
        <patternFill patternType="none"/>
      </fill>
      <alignment horizontal="center" vertical="center"/>
    </dxf>
    <dxf>
      <font>
        <b val="0"/>
        <i val="0"/>
        <strike val="0"/>
        <u val="none"/>
        <sz val="10"/>
        <color auto="1"/>
        <name val="Microsoft YaHei UI"/>
        <family val="2"/>
        <charset val="134"/>
        <scheme val="none"/>
      </font>
      <numFmt numFmtId="183" formatCode="\¥#,##0.00_);\(\¥#,##0.00\)"/>
      <alignment horizontal="center" vertical="center"/>
    </dxf>
    <dxf>
      <font>
        <strike val="0"/>
        <u val="none"/>
        <color theme="1"/>
        <name val="Microsoft YaHei UI"/>
        <family val="2"/>
        <charset val="134"/>
        <scheme val="none"/>
      </font>
      <fill>
        <patternFill patternType="solid">
          <bgColor theme="5" tint="0.59999389629810485"/>
        </patternFill>
      </fill>
    </dxf>
    <dxf>
      <font>
        <b val="0"/>
        <i val="0"/>
        <strike val="0"/>
        <u val="none"/>
        <sz val="10"/>
        <color theme="1"/>
        <name val="Microsoft YaHei UI"/>
        <family val="2"/>
        <charset val="134"/>
        <scheme val="none"/>
      </font>
      <alignment horizontal="left" vertical="center" indent="1"/>
    </dxf>
    <dxf>
      <font>
        <b val="0"/>
        <i val="0"/>
        <strike val="0"/>
        <u val="none"/>
        <sz val="12"/>
        <color theme="1" tint="0.34998626667073579"/>
        <name val="Calibri"/>
        <scheme val="none"/>
      </font>
      <numFmt numFmtId="184" formatCode="\¥#,##0.00;\¥\-#,##0.00"/>
      <fill>
        <patternFill patternType="solid">
          <bgColor theme="0"/>
        </patternFill>
      </fill>
      <alignment horizontal="center" vertical="center"/>
    </dxf>
    <dxf>
      <font>
        <b val="0"/>
        <i val="0"/>
        <strike val="0"/>
        <u val="none"/>
        <sz val="12"/>
        <color theme="1" tint="0.34998626667073579"/>
        <name val="Calibri"/>
        <scheme val="none"/>
      </font>
      <numFmt numFmtId="184" formatCode="\¥#,##0.00;\¥\-#,##0.00"/>
      <fill>
        <patternFill patternType="solid">
          <bgColor theme="0"/>
        </patternFill>
      </fill>
      <alignment horizontal="center" vertical="center"/>
    </dxf>
    <dxf>
      <font>
        <b val="0"/>
        <i val="0"/>
        <strike val="0"/>
        <u val="none"/>
        <sz val="12"/>
        <color theme="1" tint="0.34998626667073579"/>
        <name val="Calibri"/>
        <scheme val="none"/>
      </font>
      <numFmt numFmtId="184" formatCode="\¥#,##0.00;\¥\-#,##0.00"/>
      <fill>
        <patternFill patternType="solid">
          <bgColor theme="0"/>
        </patternFill>
      </fill>
      <alignment horizontal="center" vertical="center"/>
    </dxf>
    <dxf>
      <font>
        <b val="0"/>
        <i val="0"/>
        <strike val="0"/>
        <u val="none"/>
        <sz val="12"/>
        <color theme="1" tint="0.34998626667073579"/>
        <name val="Calibri"/>
        <scheme val="none"/>
      </font>
      <fill>
        <patternFill patternType="solid">
          <bgColor theme="0"/>
        </patternFill>
      </fill>
      <alignment horizontal="left" vertical="center" indent="1"/>
    </dxf>
    <dxf>
      <font>
        <b val="0"/>
        <i val="0"/>
        <strike val="0"/>
        <u val="none"/>
        <sz val="12"/>
        <color theme="1" tint="0.34998626667073579"/>
        <name val="Calibri"/>
        <scheme val="none"/>
      </font>
      <numFmt numFmtId="184" formatCode="\¥#,##0.00;\¥\-#,##0.00"/>
      <fill>
        <patternFill patternType="solid">
          <bgColor theme="0"/>
        </patternFill>
      </fill>
      <alignment horizontal="center" vertical="center"/>
    </dxf>
    <dxf>
      <font>
        <b val="0"/>
        <i val="0"/>
        <strike val="0"/>
        <u val="none"/>
        <sz val="12"/>
        <color theme="1" tint="0.34998626667073579"/>
        <name val="Calibri"/>
        <scheme val="none"/>
      </font>
      <numFmt numFmtId="184" formatCode="\¥#,##0.00;\¥\-#,##0.00"/>
      <fill>
        <patternFill patternType="solid">
          <bgColor theme="0"/>
        </patternFill>
      </fill>
      <alignment horizontal="center" vertical="center"/>
    </dxf>
    <dxf>
      <font>
        <b val="0"/>
        <i val="0"/>
        <strike val="0"/>
        <u val="none"/>
        <sz val="12"/>
        <color theme="1" tint="0.34998626667073579"/>
        <name val="Calibri"/>
        <scheme val="none"/>
      </font>
      <numFmt numFmtId="184" formatCode="\¥#,##0.00;\¥\-#,##0.00"/>
      <fill>
        <patternFill patternType="solid">
          <bgColor theme="0"/>
        </patternFill>
      </fill>
      <alignment horizontal="center" vertical="center"/>
    </dxf>
    <dxf>
      <font>
        <b val="0"/>
        <i val="0"/>
        <strike val="0"/>
        <u val="none"/>
        <sz val="12"/>
        <color theme="1" tint="0.34998626667073579"/>
        <name val="Calibri"/>
        <scheme val="none"/>
      </font>
      <fill>
        <patternFill patternType="solid">
          <bgColor theme="0"/>
        </patternFill>
      </fill>
      <alignment horizontal="left" vertical="center" indent="1"/>
    </dxf>
    <dxf>
      <font>
        <strike val="0"/>
        <u val="none"/>
        <sz val="12"/>
        <color theme="1" tint="0.34998626667073579"/>
        <name val="Calibri"/>
        <scheme val="none"/>
      </font>
      <numFmt numFmtId="184" formatCode="\¥#,##0.00;\¥\-#,##0.00"/>
      <fill>
        <patternFill patternType="solid">
          <bgColor theme="0"/>
        </patternFill>
      </fill>
      <alignment horizontal="center" vertical="center"/>
    </dxf>
    <dxf>
      <font>
        <strike val="0"/>
        <u val="none"/>
        <sz val="12"/>
        <color theme="1" tint="0.34998626667073579"/>
        <name val="Calibri"/>
        <scheme val="none"/>
      </font>
      <numFmt numFmtId="184" formatCode="\¥#,##0.00;\¥\-#,##0.00"/>
      <fill>
        <patternFill patternType="solid">
          <bgColor theme="0"/>
        </patternFill>
      </fill>
      <alignment horizontal="center" vertical="center"/>
    </dxf>
    <dxf>
      <font>
        <strike val="0"/>
        <u val="none"/>
        <sz val="12"/>
        <color theme="1" tint="0.34998626667073579"/>
        <name val="Calibri"/>
        <scheme val="none"/>
      </font>
      <numFmt numFmtId="184" formatCode="\¥#,##0.00;\¥\-#,##0.00"/>
      <fill>
        <patternFill patternType="solid">
          <bgColor theme="0"/>
        </patternFill>
      </fill>
      <alignment horizontal="center" vertical="center"/>
    </dxf>
    <dxf>
      <font>
        <strike val="0"/>
        <u val="none"/>
        <sz val="12"/>
        <color theme="1" tint="0.34998626667073579"/>
        <name val="Calibri"/>
        <scheme val="none"/>
      </font>
      <fill>
        <patternFill patternType="solid">
          <bgColor theme="0"/>
        </patternFill>
      </fill>
      <alignment horizontal="left" vertical="center" indent="1"/>
    </dxf>
    <dxf>
      <font>
        <b val="0"/>
        <i val="0"/>
        <strike val="0"/>
        <u val="none"/>
        <sz val="12"/>
        <color theme="1" tint="0.34998626667073579"/>
        <name val="Calibri"/>
        <scheme val="none"/>
      </font>
      <numFmt numFmtId="184" formatCode="\¥#,##0.00;\¥\-#,##0.00"/>
      <fill>
        <patternFill patternType="solid">
          <bgColor theme="0"/>
        </patternFill>
      </fill>
      <alignment horizontal="center" vertical="center"/>
    </dxf>
    <dxf>
      <font>
        <b val="0"/>
        <i val="0"/>
        <strike val="0"/>
        <u val="none"/>
        <sz val="12"/>
        <color theme="1" tint="0.34998626667073579"/>
        <name val="Calibri"/>
        <scheme val="none"/>
      </font>
      <numFmt numFmtId="184" formatCode="\¥#,##0.00;\¥\-#,##0.00"/>
      <fill>
        <patternFill patternType="solid">
          <bgColor theme="0"/>
        </patternFill>
      </fill>
      <alignment horizontal="center" vertical="center"/>
    </dxf>
    <dxf>
      <font>
        <b val="0"/>
        <i val="0"/>
        <strike val="0"/>
        <u val="none"/>
        <sz val="12"/>
        <color theme="1" tint="0.34998626667073579"/>
        <name val="Calibri"/>
        <scheme val="none"/>
      </font>
      <numFmt numFmtId="184" formatCode="\¥#,##0.00;\¥\-#,##0.00"/>
      <fill>
        <patternFill patternType="solid">
          <bgColor theme="0"/>
        </patternFill>
      </fill>
      <alignment horizontal="center" vertical="center"/>
    </dxf>
    <dxf>
      <font>
        <b val="0"/>
        <i val="0"/>
        <strike val="0"/>
        <u val="none"/>
        <sz val="12"/>
        <color theme="1" tint="0.34998626667073579"/>
        <name val="Calibri"/>
        <scheme val="none"/>
      </font>
      <fill>
        <patternFill patternType="solid">
          <bgColor theme="0"/>
        </patternFill>
      </fill>
      <alignment horizontal="left" vertical="center" indent="1"/>
    </dxf>
    <dxf>
      <font>
        <b val="0"/>
        <i val="0"/>
        <strike val="0"/>
        <u val="none"/>
        <sz val="12"/>
        <color theme="1" tint="0.34998626667073579"/>
        <name val="Calibri"/>
        <scheme val="none"/>
      </font>
      <numFmt numFmtId="184" formatCode="\¥#,##0.00;\¥\-#,##0.00"/>
      <fill>
        <patternFill patternType="solid">
          <bgColor theme="0"/>
        </patternFill>
      </fill>
      <alignment horizontal="center" vertical="center"/>
    </dxf>
    <dxf>
      <font>
        <b val="0"/>
        <i val="0"/>
        <strike val="0"/>
        <u val="none"/>
        <sz val="12"/>
        <color theme="1" tint="0.34998626667073579"/>
        <name val="Calibri"/>
        <scheme val="none"/>
      </font>
      <numFmt numFmtId="184" formatCode="\¥#,##0.00;\¥\-#,##0.00"/>
      <fill>
        <patternFill patternType="solid">
          <bgColor theme="0"/>
        </patternFill>
      </fill>
      <alignment horizontal="center" vertical="center"/>
    </dxf>
    <dxf>
      <font>
        <b val="0"/>
        <i val="0"/>
        <strike val="0"/>
        <u val="none"/>
        <sz val="12"/>
        <color theme="1" tint="0.34998626667073579"/>
        <name val="Calibri"/>
        <scheme val="none"/>
      </font>
      <numFmt numFmtId="184" formatCode="\¥#,##0.00;\¥\-#,##0.00"/>
      <fill>
        <patternFill patternType="solid">
          <bgColor theme="0"/>
        </patternFill>
      </fill>
      <alignment horizontal="center" vertical="center"/>
    </dxf>
    <dxf>
      <font>
        <b val="0"/>
        <i val="0"/>
        <strike val="0"/>
        <u val="none"/>
        <sz val="12"/>
        <color theme="1" tint="0.34998626667073579"/>
        <name val="Calibri"/>
        <scheme val="none"/>
      </font>
      <fill>
        <patternFill patternType="solid">
          <bgColor theme="0"/>
        </patternFill>
      </fill>
      <alignment horizontal="left" vertical="center" indent="1"/>
    </dxf>
    <dxf>
      <font>
        <b val="0"/>
        <i val="0"/>
        <strike val="0"/>
        <u val="none"/>
        <sz val="12"/>
        <color theme="1" tint="0.34998626667073579"/>
        <name val="Calibri"/>
        <scheme val="none"/>
      </font>
      <numFmt numFmtId="184" formatCode="\¥#,##0.00;\¥\-#,##0.00"/>
      <fill>
        <patternFill patternType="solid">
          <bgColor theme="0"/>
        </patternFill>
      </fill>
      <alignment horizontal="center" vertical="center"/>
    </dxf>
    <dxf>
      <font>
        <b val="0"/>
        <i val="0"/>
        <strike val="0"/>
        <u val="none"/>
        <sz val="12"/>
        <color theme="1" tint="0.34998626667073579"/>
        <name val="Calibri"/>
        <scheme val="none"/>
      </font>
      <numFmt numFmtId="184" formatCode="\¥#,##0.00;\¥\-#,##0.00"/>
      <fill>
        <patternFill patternType="solid">
          <bgColor theme="0"/>
        </patternFill>
      </fill>
      <alignment horizontal="center" vertical="center"/>
    </dxf>
    <dxf>
      <font>
        <b val="0"/>
        <i val="0"/>
        <strike val="0"/>
        <u val="none"/>
        <sz val="12"/>
        <color theme="1" tint="0.34998626667073579"/>
        <name val="Calibri"/>
        <scheme val="none"/>
      </font>
      <numFmt numFmtId="184" formatCode="\¥#,##0.00;\¥\-#,##0.00"/>
      <fill>
        <patternFill patternType="solid">
          <bgColor theme="0"/>
        </patternFill>
      </fill>
      <alignment horizontal="center" vertical="center"/>
    </dxf>
    <dxf>
      <font>
        <b val="0"/>
        <i val="0"/>
        <strike val="0"/>
        <u val="none"/>
        <sz val="12"/>
        <color theme="1" tint="0.34998626667073579"/>
        <name val="Calibri"/>
        <scheme val="none"/>
      </font>
      <fill>
        <patternFill patternType="solid">
          <bgColor theme="0"/>
        </patternFill>
      </fill>
      <alignment horizontal="left" vertical="center" indent="1"/>
    </dxf>
    <dxf>
      <font>
        <b val="0"/>
        <i val="0"/>
        <strike val="0"/>
        <u val="none"/>
        <sz val="12"/>
        <color theme="1" tint="0.34998626667073579"/>
        <name val="Calibri"/>
        <scheme val="none"/>
      </font>
      <numFmt numFmtId="184" formatCode="\¥#,##0.00;\¥\-#,##0.00"/>
      <fill>
        <patternFill patternType="solid">
          <bgColor theme="0"/>
        </patternFill>
      </fill>
      <alignment horizontal="center" vertical="center"/>
    </dxf>
    <dxf>
      <font>
        <b val="0"/>
        <i val="0"/>
        <strike val="0"/>
        <u val="none"/>
        <sz val="12"/>
        <color theme="1" tint="0.34998626667073579"/>
        <name val="Calibri"/>
        <scheme val="none"/>
      </font>
      <numFmt numFmtId="184" formatCode="\¥#,##0.00;\¥\-#,##0.00"/>
      <fill>
        <patternFill patternType="solid">
          <bgColor theme="0"/>
        </patternFill>
      </fill>
      <alignment horizontal="center" vertical="center"/>
    </dxf>
    <dxf>
      <font>
        <b val="0"/>
        <i val="0"/>
        <strike val="0"/>
        <u val="none"/>
        <sz val="12"/>
        <color theme="1" tint="0.34998626667073579"/>
        <name val="Calibri"/>
        <scheme val="none"/>
      </font>
      <numFmt numFmtId="184" formatCode="\¥#,##0.00;\¥\-#,##0.00"/>
      <fill>
        <patternFill patternType="solid">
          <bgColor theme="0"/>
        </patternFill>
      </fill>
      <alignment horizontal="center" vertical="center"/>
    </dxf>
    <dxf>
      <font>
        <b val="0"/>
        <i val="0"/>
        <strike val="0"/>
        <u val="none"/>
        <sz val="12"/>
        <color theme="1" tint="0.34998626667073579"/>
        <name val="Calibri"/>
        <scheme val="none"/>
      </font>
      <fill>
        <patternFill patternType="solid">
          <bgColor theme="0"/>
        </patternFill>
      </fill>
      <alignment horizontal="left" vertical="center" indent="1"/>
    </dxf>
    <dxf>
      <font>
        <strike val="0"/>
        <u val="none"/>
        <sz val="12"/>
        <color theme="1" tint="0.34998626667073579"/>
        <name val="Calibri"/>
        <scheme val="none"/>
      </font>
      <numFmt numFmtId="184" formatCode="\¥#,##0.00;\¥\-#,##0.00"/>
      <fill>
        <patternFill patternType="solid">
          <bgColor theme="0"/>
        </patternFill>
      </fill>
      <alignment horizontal="center" vertical="center"/>
    </dxf>
    <dxf>
      <font>
        <strike val="0"/>
        <u val="none"/>
        <sz val="12"/>
        <color theme="1" tint="0.34998626667073579"/>
        <name val="Calibri"/>
        <scheme val="none"/>
      </font>
      <numFmt numFmtId="184" formatCode="\¥#,##0.00;\¥\-#,##0.00"/>
      <fill>
        <patternFill patternType="solid">
          <bgColor theme="0"/>
        </patternFill>
      </fill>
      <alignment horizontal="center" vertical="center"/>
    </dxf>
    <dxf>
      <font>
        <strike val="0"/>
        <u val="none"/>
        <sz val="12"/>
        <color theme="1" tint="0.34998626667073579"/>
        <name val="Calibri"/>
        <scheme val="none"/>
      </font>
      <numFmt numFmtId="184" formatCode="\¥#,##0.00;\¥\-#,##0.00"/>
      <fill>
        <patternFill patternType="solid">
          <bgColor theme="0"/>
        </patternFill>
      </fill>
      <alignment horizontal="center" vertical="center"/>
    </dxf>
    <dxf>
      <font>
        <strike val="0"/>
        <u val="none"/>
        <sz val="12"/>
        <color theme="1" tint="0.34998626667073579"/>
        <name val="Calibri"/>
        <scheme val="none"/>
      </font>
      <fill>
        <patternFill patternType="solid">
          <bgColor theme="0"/>
        </patternFill>
      </fill>
      <alignment horizontal="left" vertical="center" indent="1"/>
    </dxf>
    <dxf>
      <font>
        <strike val="0"/>
        <u val="none"/>
        <sz val="12"/>
        <color theme="1" tint="0.24994659260841701"/>
        <name val="Calibri"/>
        <scheme val="none"/>
      </font>
      <numFmt numFmtId="184" formatCode="\¥#,##0.00;\¥\-#,##0.00"/>
      <fill>
        <patternFill patternType="solid">
          <bgColor theme="0"/>
        </patternFill>
      </fill>
      <alignment horizontal="center" vertical="center"/>
    </dxf>
    <dxf>
      <font>
        <strike val="0"/>
        <u val="none"/>
        <sz val="12"/>
        <color theme="1" tint="0.24994659260841701"/>
        <name val="Calibri"/>
        <scheme val="none"/>
      </font>
      <numFmt numFmtId="184" formatCode="\¥#,##0.00;\¥\-#,##0.00"/>
      <fill>
        <patternFill patternType="solid">
          <bgColor theme="0"/>
        </patternFill>
      </fill>
      <alignment horizontal="center" vertical="center"/>
    </dxf>
    <dxf>
      <font>
        <strike val="0"/>
        <u val="none"/>
        <sz val="12"/>
        <color theme="1" tint="0.24994659260841701"/>
        <name val="Calibri"/>
        <scheme val="none"/>
      </font>
      <numFmt numFmtId="184" formatCode="\¥#,##0.00;\¥\-#,##0.00"/>
      <fill>
        <patternFill patternType="solid">
          <bgColor theme="0"/>
        </patternFill>
      </fill>
      <alignment horizontal="center" vertical="center"/>
    </dxf>
    <dxf>
      <font>
        <strike val="0"/>
        <u val="none"/>
        <sz val="12"/>
        <color theme="1" tint="0.24994659260841701"/>
        <name val="Calibri"/>
        <scheme val="none"/>
      </font>
      <fill>
        <patternFill patternType="solid">
          <bgColor theme="0"/>
        </patternFill>
      </fill>
      <alignment vertical="center"/>
    </dxf>
    <dxf>
      <font>
        <b val="0"/>
        <i val="0"/>
        <strike val="0"/>
        <u val="none"/>
        <sz val="12"/>
        <color theme="1" tint="0.34998626667073579"/>
        <name val="Calibri"/>
        <scheme val="none"/>
      </font>
      <numFmt numFmtId="184" formatCode="\¥#,##0.00;\¥\-#,##0.00"/>
      <fill>
        <patternFill patternType="solid">
          <bgColor theme="0"/>
        </patternFill>
      </fill>
      <alignment horizontal="center" vertical="center"/>
    </dxf>
    <dxf>
      <font>
        <b val="0"/>
        <i val="0"/>
        <strike val="0"/>
        <u val="none"/>
        <sz val="12"/>
        <color theme="1" tint="0.34998626667073579"/>
        <name val="Calibri"/>
        <scheme val="none"/>
      </font>
      <numFmt numFmtId="184" formatCode="\¥#,##0.00;\¥\-#,##0.00"/>
      <fill>
        <patternFill patternType="solid">
          <bgColor theme="0"/>
        </patternFill>
      </fill>
      <alignment horizontal="center" vertical="center"/>
    </dxf>
    <dxf>
      <font>
        <b val="0"/>
        <i val="0"/>
        <strike val="0"/>
        <u val="none"/>
        <sz val="12"/>
        <color theme="1" tint="0.34998626667073579"/>
        <name val="Calibri"/>
        <scheme val="none"/>
      </font>
      <numFmt numFmtId="184" formatCode="\¥#,##0.00;\¥\-#,##0.00"/>
      <fill>
        <patternFill patternType="solid">
          <bgColor theme="0"/>
        </patternFill>
      </fill>
      <alignment horizontal="center" vertical="center"/>
    </dxf>
    <dxf>
      <font>
        <b val="0"/>
        <i val="0"/>
        <strike val="0"/>
        <u val="none"/>
        <sz val="12"/>
        <color theme="1" tint="0.34998626667073579"/>
        <name val="Calibri"/>
        <scheme val="none"/>
      </font>
      <fill>
        <patternFill patternType="solid">
          <bgColor theme="0"/>
        </patternFill>
      </fill>
      <alignment horizontal="left" vertical="center" indent="1"/>
    </dxf>
    <dxf>
      <font>
        <b val="0"/>
        <i val="0"/>
        <strike val="0"/>
        <u val="none"/>
        <sz val="12"/>
        <color theme="1" tint="0.34998626667073579"/>
        <name val="Calibri"/>
        <scheme val="none"/>
      </font>
      <numFmt numFmtId="184" formatCode="\¥#,##0.00;\¥\-#,##0.00"/>
      <fill>
        <patternFill patternType="solid">
          <bgColor theme="0"/>
        </patternFill>
      </fill>
      <alignment horizontal="center" vertical="center"/>
    </dxf>
    <dxf>
      <font>
        <b val="0"/>
        <i val="0"/>
        <strike val="0"/>
        <u val="none"/>
        <sz val="12"/>
        <color theme="1" tint="0.34998626667073579"/>
        <name val="Calibri"/>
        <scheme val="none"/>
      </font>
      <numFmt numFmtId="184" formatCode="\¥#,##0.00;\¥\-#,##0.00"/>
      <fill>
        <patternFill patternType="solid">
          <bgColor theme="0"/>
        </patternFill>
      </fill>
      <alignment horizontal="center" vertical="center"/>
    </dxf>
    <dxf>
      <font>
        <b val="0"/>
        <i val="0"/>
        <strike val="0"/>
        <u val="none"/>
        <sz val="12"/>
        <color theme="1" tint="0.34998626667073579"/>
        <name val="Calibri"/>
        <scheme val="none"/>
      </font>
      <numFmt numFmtId="184" formatCode="\¥#,##0.00;\¥\-#,##0.00"/>
      <fill>
        <patternFill patternType="solid">
          <bgColor theme="0"/>
        </patternFill>
      </fill>
      <alignment horizontal="center" vertical="center"/>
    </dxf>
    <dxf>
      <font>
        <b val="0"/>
        <i val="0"/>
        <strike val="0"/>
        <u val="none"/>
        <sz val="12"/>
        <color theme="1" tint="0.34998626667073579"/>
        <name val="Calibri"/>
        <scheme val="none"/>
      </font>
      <fill>
        <patternFill patternType="solid">
          <bgColor theme="0"/>
        </patternFill>
      </fill>
      <alignment horizontal="left" vertical="center" indent="1"/>
    </dxf>
    <dxf>
      <font>
        <b val="0"/>
        <i val="0"/>
        <strike val="0"/>
        <u val="none"/>
        <sz val="12"/>
        <color theme="1" tint="0.34998626667073579"/>
        <name val="Calibri"/>
        <scheme val="none"/>
      </font>
      <fill>
        <patternFill patternType="none"/>
      </fill>
    </dxf>
    <dxf>
      <font>
        <b val="0"/>
        <i val="0"/>
        <strike val="0"/>
        <u val="none"/>
        <sz val="12"/>
        <color theme="1" tint="0.34998626667073579"/>
        <name val="Calibri"/>
        <scheme val="none"/>
      </font>
      <fill>
        <patternFill patternType="none"/>
      </fill>
    </dxf>
    <dxf>
      <font>
        <b val="0"/>
        <i val="0"/>
        <strike val="0"/>
        <u val="none"/>
        <sz val="12"/>
        <color theme="1" tint="0.34998626667073579"/>
        <name val="Calibri"/>
        <scheme val="none"/>
      </font>
      <fill>
        <patternFill patternType="none"/>
      </fill>
    </dxf>
    <dxf>
      <font>
        <b val="0"/>
        <i val="0"/>
        <strike val="0"/>
        <u val="none"/>
        <sz val="12"/>
        <color theme="1" tint="0.34998626667073579"/>
        <name val="Calibri"/>
        <scheme val="none"/>
      </font>
      <fill>
        <patternFill patternType="none"/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3743705557422"/>
        <name val="Microsoft YaHei UI"/>
        <charset val="134"/>
        <scheme val="none"/>
      </font>
    </dxf>
    <dxf>
      <font>
        <strike val="0"/>
        <u val="none"/>
        <name val="Microsoft YaHei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3743705557422"/>
        <name val="Microsoft YaHei UI"/>
        <charset val="134"/>
        <scheme val="none"/>
      </font>
      <numFmt numFmtId="178" formatCode="0_);\!\-0_)"/>
      <alignment horizontal="general" vertical="center" textRotation="0" wrapText="0" indent="0" justifyLastLine="0" shrinkToFit="0" readingOrder="0"/>
    </dxf>
    <dxf>
      <font>
        <strike val="0"/>
        <u val="none"/>
        <name val="Microsoft YaHei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3743705557422"/>
        <name val="Microsoft YaHei UI"/>
        <charset val="134"/>
        <scheme val="none"/>
      </font>
      <numFmt numFmtId="178" formatCode="0_);\!\-0_)"/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 style="thin">
          <color theme="0"/>
        </top>
        <bottom style="thin">
          <color theme="0"/>
        </bottom>
      </border>
    </dxf>
    <dxf>
      <font>
        <b val="0"/>
        <i val="0"/>
        <strike val="0"/>
        <u val="none"/>
        <sz val="10"/>
        <color theme="1" tint="0.14993743705557422"/>
        <name val="Microsoft YaHei UI"/>
        <scheme val="none"/>
      </font>
      <numFmt numFmtId="178" formatCode="0_);\!\-0_)"/>
      <fill>
        <patternFill patternType="none"/>
      </fill>
      <border>
        <left/>
        <right/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3743705557422"/>
        <name val="Microsoft YaHei UI"/>
        <charset val="134"/>
        <scheme val="none"/>
      </font>
      <numFmt numFmtId="178" formatCode="0_);\!\-0_)"/>
      <alignment horizontal="general" vertical="center" textRotation="0" wrapText="0" indent="0" justifyLastLine="0" shrinkToFit="0" readingOrder="0"/>
    </dxf>
    <dxf>
      <font>
        <strike val="0"/>
        <u val="none"/>
        <name val="Microsoft YaHei UI"/>
        <scheme val="none"/>
      </font>
      <numFmt numFmtId="178" formatCode="0_);\!\-0_)"/>
      <alignment horizontal="right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3743705557422"/>
        <name val="Microsoft YaHei UI"/>
        <charset val="134"/>
        <scheme val="none"/>
      </font>
      <numFmt numFmtId="178" formatCode="0_);\!\-0_)"/>
      <alignment horizontal="general" vertical="center" textRotation="0" wrapText="0" indent="0" justifyLastLine="0" shrinkToFit="0" readingOrder="0"/>
    </dxf>
    <dxf>
      <font>
        <strike val="0"/>
        <u val="none"/>
        <name val="Microsoft YaHei UI"/>
        <scheme val="none"/>
      </font>
      <numFmt numFmtId="178" formatCode="0_);\!\-0_)"/>
      <alignment horizontal="right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3743705557422"/>
        <name val="Microsoft YaHei UI"/>
        <charset val="134"/>
        <scheme val="none"/>
      </font>
      <numFmt numFmtId="178" formatCode="0_);\!\-0_)"/>
      <alignment horizontal="general" vertical="center" textRotation="0" wrapText="0" indent="0" justifyLastLine="0" shrinkToFit="0" readingOrder="0"/>
    </dxf>
    <dxf>
      <font>
        <strike val="0"/>
        <u val="none"/>
        <name val="Microsoft YaHei UI"/>
        <scheme val="none"/>
      </font>
      <numFmt numFmtId="178" formatCode="0_);\!\-0_)"/>
      <alignment horizontal="right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3743705557422"/>
        <name val="Microsoft YaHei UI"/>
        <charset val="134"/>
        <scheme val="none"/>
      </font>
      <numFmt numFmtId="178" formatCode="0_);\!\-0_)"/>
      <alignment horizontal="general" vertical="center" textRotation="0" wrapText="0" indent="0" justifyLastLine="0" shrinkToFit="0" readingOrder="0"/>
    </dxf>
    <dxf>
      <font>
        <strike val="0"/>
        <u val="none"/>
        <name val="Microsoft YaHei UI"/>
        <scheme val="none"/>
      </font>
      <numFmt numFmtId="178" formatCode="0_);\!\-0_)"/>
      <alignment horizontal="right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3743705557422"/>
        <name val="Microsoft YaHei UI"/>
        <charset val="134"/>
        <scheme val="none"/>
      </font>
      <numFmt numFmtId="178" formatCode="0_);\!\-0_)"/>
      <alignment horizontal="general" vertical="center" textRotation="0" wrapText="0" indent="0" justifyLastLine="0" shrinkToFit="0" readingOrder="0"/>
    </dxf>
    <dxf>
      <font>
        <strike val="0"/>
        <u val="none"/>
        <name val="Microsoft YaHei UI"/>
        <scheme val="none"/>
      </font>
      <numFmt numFmtId="178" formatCode="0_);\!\-0_)"/>
      <alignment horizontal="right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3743705557422"/>
        <name val="Microsoft YaHei UI"/>
        <charset val="134"/>
        <scheme val="none"/>
      </font>
      <numFmt numFmtId="178" formatCode="0_);\!\-0_)"/>
      <alignment horizontal="general" vertical="center" textRotation="0" wrapText="0" indent="0" justifyLastLine="0" shrinkToFit="0" readingOrder="0"/>
    </dxf>
    <dxf>
      <font>
        <strike val="0"/>
        <u val="none"/>
        <name val="Microsoft YaHei UI"/>
        <scheme val="none"/>
      </font>
      <numFmt numFmtId="178" formatCode="0_);\!\-0_)"/>
      <alignment horizontal="right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3743705557422"/>
        <name val="Microsoft YaHei UI"/>
        <charset val="134"/>
        <scheme val="none"/>
      </font>
      <numFmt numFmtId="178" formatCode="0_);\!\-0_)"/>
      <alignment horizontal="general" vertical="center" textRotation="0" wrapText="0" indent="0" justifyLastLine="0" shrinkToFit="0" readingOrder="0"/>
    </dxf>
    <dxf>
      <font>
        <strike val="0"/>
        <u val="none"/>
        <name val="Microsoft YaHei UI"/>
        <scheme val="none"/>
      </font>
      <numFmt numFmtId="178" formatCode="0_);\!\-0_)"/>
      <alignment horizontal="right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3743705557422"/>
        <name val="Microsoft YaHei UI"/>
        <charset val="134"/>
        <scheme val="none"/>
      </font>
      <numFmt numFmtId="178" formatCode="0_);\!\-0_)"/>
      <alignment horizontal="general" vertical="center" textRotation="0" wrapText="0" indent="0" justifyLastLine="0" shrinkToFit="0" readingOrder="0"/>
    </dxf>
    <dxf>
      <font>
        <strike val="0"/>
        <u val="none"/>
        <name val="Microsoft YaHei UI"/>
        <scheme val="none"/>
      </font>
      <numFmt numFmtId="178" formatCode="0_);\!\-0_)"/>
      <alignment horizontal="right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3743705557422"/>
        <name val="Microsoft YaHei UI"/>
        <charset val="134"/>
        <scheme val="none"/>
      </font>
      <numFmt numFmtId="178" formatCode="0_);\!\-0_)"/>
      <alignment horizontal="general" vertical="center" textRotation="0" wrapText="0" indent="0" justifyLastLine="0" shrinkToFit="0" readingOrder="0"/>
    </dxf>
    <dxf>
      <font>
        <strike val="0"/>
        <u val="none"/>
        <name val="Microsoft YaHei UI"/>
        <scheme val="none"/>
      </font>
      <numFmt numFmtId="178" formatCode="0_);\!\-0_)"/>
      <alignment horizontal="right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3743705557422"/>
        <name val="Microsoft YaHei UI"/>
        <charset val="134"/>
        <scheme val="none"/>
      </font>
      <numFmt numFmtId="178" formatCode="0_);\!\-0_)"/>
      <alignment horizontal="general" vertical="center" textRotation="0" wrapText="0" indent="0" justifyLastLine="0" shrinkToFit="0" readingOrder="0"/>
    </dxf>
    <dxf>
      <font>
        <strike val="0"/>
        <u val="none"/>
        <name val="Microsoft YaHei UI"/>
        <scheme val="none"/>
      </font>
      <numFmt numFmtId="178" formatCode="0_);\!\-0_)"/>
      <alignment horizontal="right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3743705557422"/>
        <name val="Microsoft YaHei UI"/>
        <charset val="134"/>
        <scheme val="none"/>
      </font>
      <numFmt numFmtId="178" formatCode="0_);\!\-0_)"/>
      <alignment horizontal="general" vertical="center" textRotation="0" wrapText="0" indent="0" justifyLastLine="0" shrinkToFit="0" readingOrder="0"/>
    </dxf>
    <dxf>
      <font>
        <strike val="0"/>
        <u val="none"/>
        <name val="Microsoft YaHei UI"/>
        <scheme val="none"/>
      </font>
      <numFmt numFmtId="178" formatCode="0_);\!\-0_)"/>
      <alignment horizontal="right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3743705557422"/>
        <name val="Microsoft YaHei UI"/>
        <charset val="134"/>
        <scheme val="none"/>
      </font>
      <numFmt numFmtId="178" formatCode="0_);\!\-0_)"/>
      <alignment horizontal="general" vertical="center" textRotation="0" wrapText="0" indent="0" justifyLastLine="0" shrinkToFit="0" readingOrder="0"/>
    </dxf>
    <dxf>
      <font>
        <strike val="0"/>
        <u val="none"/>
        <name val="Microsoft YaHei UI"/>
        <scheme val="none"/>
      </font>
      <numFmt numFmtId="178" formatCode="0_);\!\-0_)"/>
      <alignment horizontal="right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3743705557422"/>
        <name val="Microsoft YaHei UI"/>
        <charset val="134"/>
        <scheme val="none"/>
      </font>
      <numFmt numFmtId="178" formatCode="0_);\!\-0_)"/>
      <alignment horizontal="general" vertical="center" textRotation="0" wrapText="0" indent="0" justifyLastLine="0" shrinkToFit="0" readingOrder="0"/>
    </dxf>
    <dxf>
      <font>
        <strike val="0"/>
        <u val="none"/>
        <color theme="1" tint="0.14993743705557422"/>
        <name val="Microsoft YaHei UI"/>
        <family val="2"/>
        <charset val="134"/>
        <scheme val="none"/>
      </font>
      <numFmt numFmtId="178" formatCode="0_);\!\-0_)"/>
      <alignment horizontal="right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3743705557422"/>
        <name val="Microsoft YaHei UI"/>
        <charset val="134"/>
        <scheme val="none"/>
      </font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 style="thin">
          <color theme="0"/>
        </top>
        <bottom style="thin">
          <color theme="0"/>
        </bottom>
      </border>
    </dxf>
    <dxf>
      <font>
        <strike val="0"/>
        <u val="none"/>
        <name val="Microsoft YaHei UI"/>
        <scheme val="none"/>
      </font>
      <fill>
        <patternFill patternType="solid">
          <bgColor theme="0"/>
        </patternFill>
      </fill>
      <border>
        <left/>
        <right/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3743705557422"/>
        <name val="Microsoft YaHei UI"/>
        <charset val="134"/>
        <scheme val="none"/>
      </font>
      <alignment horizontal="left" vertical="center" textRotation="0" wrapText="0" indent="1" justifyLastLine="0" shrinkToFit="0" readingOrder="0"/>
    </dxf>
    <dxf>
      <font>
        <strike val="0"/>
        <u val="none"/>
        <sz val="10"/>
        <color theme="1" tint="0.499984740745262"/>
        <name val="Microsoft YaHei UI"/>
        <family val="2"/>
        <charset val="134"/>
        <scheme val="none"/>
      </font>
      <fill>
        <patternFill patternType="none"/>
      </fill>
      <alignment horizontal="left" vertical="center" indent="1"/>
    </dxf>
    <dxf>
      <font>
        <strike val="0"/>
        <u val="none"/>
        <name val="Microsoft YaHei UI"/>
        <scheme val="none"/>
      </font>
    </dxf>
    <dxf>
      <font>
        <strike val="0"/>
        <u val="none"/>
        <name val="Microsoft YaHei UI"/>
        <scheme val="none"/>
      </font>
    </dxf>
    <dxf>
      <font>
        <b val="0"/>
        <i val="0"/>
        <strike val="0"/>
        <u val="none"/>
        <sz val="10"/>
        <color theme="1" tint="0.14993743705557422"/>
        <name val="Microsoft YaHei UI"/>
        <scheme val="none"/>
      </font>
      <numFmt numFmtId="178" formatCode="0_);\!\-0_)"/>
      <fill>
        <patternFill patternType="none"/>
      </fill>
      <border>
        <left/>
        <right/>
        <top style="thin">
          <color theme="0"/>
        </top>
        <bottom style="thin">
          <color theme="0"/>
        </bottom>
      </border>
    </dxf>
    <dxf>
      <font>
        <strike val="0"/>
        <u val="none"/>
        <name val="Microsoft YaHei UI"/>
        <scheme val="none"/>
      </font>
      <numFmt numFmtId="178" formatCode="0_);\!\-0_)"/>
      <alignment horizontal="right" vertical="center"/>
    </dxf>
    <dxf>
      <font>
        <strike val="0"/>
        <u val="none"/>
        <name val="Microsoft YaHei UI"/>
        <scheme val="none"/>
      </font>
      <numFmt numFmtId="178" formatCode="0_);\!\-0_)"/>
      <alignment horizontal="right" vertical="center"/>
    </dxf>
    <dxf>
      <font>
        <strike val="0"/>
        <u val="none"/>
        <name val="Microsoft YaHei UI"/>
        <scheme val="none"/>
      </font>
      <numFmt numFmtId="178" formatCode="0_);\!\-0_)"/>
      <alignment horizontal="right" vertical="center"/>
    </dxf>
    <dxf>
      <font>
        <strike val="0"/>
        <u val="none"/>
        <name val="Microsoft YaHei UI"/>
        <scheme val="none"/>
      </font>
      <numFmt numFmtId="178" formatCode="0_);\!\-0_)"/>
      <alignment horizontal="right" vertical="center"/>
    </dxf>
    <dxf>
      <font>
        <strike val="0"/>
        <u val="none"/>
        <name val="Microsoft YaHei UI"/>
        <scheme val="none"/>
      </font>
      <numFmt numFmtId="178" formatCode="0_);\!\-0_)"/>
      <alignment horizontal="right" vertical="center"/>
    </dxf>
    <dxf>
      <font>
        <strike val="0"/>
        <u val="none"/>
        <name val="Microsoft YaHei UI"/>
        <scheme val="none"/>
      </font>
      <numFmt numFmtId="178" formatCode="0_);\!\-0_)"/>
      <alignment horizontal="right" vertical="center"/>
    </dxf>
    <dxf>
      <font>
        <strike val="0"/>
        <u val="none"/>
        <name val="Microsoft YaHei UI"/>
        <scheme val="none"/>
      </font>
      <numFmt numFmtId="178" formatCode="0_);\!\-0_)"/>
      <alignment horizontal="right" vertical="center"/>
    </dxf>
    <dxf>
      <font>
        <strike val="0"/>
        <u val="none"/>
        <name val="Microsoft YaHei UI"/>
        <scheme val="none"/>
      </font>
      <numFmt numFmtId="178" formatCode="0_);\!\-0_)"/>
      <alignment horizontal="right" vertical="center"/>
    </dxf>
    <dxf>
      <font>
        <strike val="0"/>
        <u val="none"/>
        <name val="Microsoft YaHei UI"/>
        <scheme val="none"/>
      </font>
      <numFmt numFmtId="178" formatCode="0_);\!\-0_)"/>
      <alignment horizontal="right" vertical="center"/>
    </dxf>
    <dxf>
      <font>
        <strike val="0"/>
        <u val="none"/>
        <name val="Microsoft YaHei UI"/>
        <scheme val="none"/>
      </font>
      <numFmt numFmtId="178" formatCode="0_);\!\-0_)"/>
      <alignment horizontal="right" vertical="center"/>
    </dxf>
    <dxf>
      <font>
        <strike val="0"/>
        <u val="none"/>
        <name val="Microsoft YaHei UI"/>
        <scheme val="none"/>
      </font>
      <numFmt numFmtId="178" formatCode="0_);\!\-0_)"/>
      <alignment horizontal="right" vertical="center"/>
    </dxf>
    <dxf>
      <font>
        <strike val="0"/>
        <u val="none"/>
        <name val="Microsoft YaHei UI"/>
        <scheme val="none"/>
      </font>
      <numFmt numFmtId="178" formatCode="0_);\!\-0_)"/>
      <alignment horizontal="right" vertical="center"/>
    </dxf>
    <dxf>
      <font>
        <strike val="0"/>
        <u val="none"/>
        <name val="Microsoft YaHei UI"/>
        <scheme val="none"/>
      </font>
      <numFmt numFmtId="178" formatCode="0_);\!\-0_)"/>
      <alignment horizontal="right" vertical="center"/>
    </dxf>
    <dxf>
      <font>
        <strike val="0"/>
        <u val="none"/>
        <name val="Microsoft YaHei UI"/>
        <scheme val="none"/>
      </font>
      <fill>
        <patternFill patternType="solid">
          <bgColor theme="0"/>
        </patternFill>
      </fill>
      <border>
        <left/>
        <right/>
        <top style="thin">
          <color theme="0"/>
        </top>
        <bottom style="thin">
          <color theme="0"/>
        </bottom>
      </border>
    </dxf>
    <dxf>
      <font>
        <strike val="0"/>
        <u val="none"/>
        <sz val="10"/>
        <color theme="1" tint="0.499984740745262"/>
        <name val="Microsoft YaHei UI"/>
        <scheme val="none"/>
      </font>
      <fill>
        <patternFill patternType="none"/>
      </fill>
      <alignment horizontal="left" vertical="center" inden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3743705557422"/>
        <name val="Microsoft YaHei UI"/>
        <charset val="134"/>
        <scheme val="none"/>
      </font>
      <alignment horizontal="general" vertical="bottom" textRotation="0" wrapText="0" indent="0" justifyLastLine="0" shrinkToFit="0" readingOrder="0"/>
    </dxf>
    <dxf>
      <font>
        <strike val="0"/>
        <u val="none"/>
        <name val="Microsoft YaHei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3743705557422"/>
        <name val="Microsoft YaHei UI"/>
        <charset val="134"/>
        <scheme val="none"/>
      </font>
      <numFmt numFmtId="178" formatCode="0_);\!\-0_)"/>
    </dxf>
    <dxf>
      <font>
        <strike val="0"/>
        <u val="none"/>
        <name val="Microsoft YaHei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3743705557422"/>
        <name val="Microsoft YaHei UI"/>
        <charset val="134"/>
        <scheme val="none"/>
      </font>
      <numFmt numFmtId="178" formatCode="0_);\!\-0_)"/>
      <fill>
        <patternFill patternType="solid">
          <fgColor indexed="64"/>
          <bgColor theme="0"/>
        </patternFill>
      </fill>
      <border diagonalUp="0" diagonalDown="0" outline="0">
        <left/>
        <right/>
        <top style="thin">
          <color theme="0"/>
        </top>
        <bottom style="thin">
          <color theme="0"/>
        </bottom>
      </border>
    </dxf>
    <dxf>
      <font>
        <b val="0"/>
        <i val="0"/>
        <strike val="0"/>
        <u val="none"/>
        <sz val="10"/>
        <color theme="1" tint="0.14993743705557422"/>
        <name val="Microsoft YaHei UI"/>
        <scheme val="none"/>
      </font>
      <numFmt numFmtId="178" formatCode="0_);\!\-0_)"/>
      <fill>
        <patternFill patternType="none"/>
      </fill>
      <border>
        <left/>
        <right/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3743705557422"/>
        <name val="Microsoft YaHei UI"/>
        <charset val="134"/>
        <scheme val="none"/>
      </font>
      <numFmt numFmtId="178" formatCode="0_);\!\-0_)"/>
    </dxf>
    <dxf>
      <font>
        <strike val="0"/>
        <u val="none"/>
        <name val="Microsoft YaHei UI"/>
        <scheme val="none"/>
      </font>
      <numFmt numFmtId="178" formatCode="0_);\!\-0_)"/>
      <alignment horizontal="right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3743705557422"/>
        <name val="Microsoft YaHei UI"/>
        <charset val="134"/>
        <scheme val="none"/>
      </font>
      <numFmt numFmtId="178" formatCode="0_);\!\-0_)"/>
    </dxf>
    <dxf>
      <font>
        <strike val="0"/>
        <u val="none"/>
        <name val="Microsoft YaHei UI"/>
        <scheme val="none"/>
      </font>
      <numFmt numFmtId="178" formatCode="0_);\!\-0_)"/>
      <alignment horizontal="right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3743705557422"/>
        <name val="Microsoft YaHei UI"/>
        <charset val="134"/>
        <scheme val="none"/>
      </font>
      <numFmt numFmtId="178" formatCode="0_);\!\-0_)"/>
    </dxf>
    <dxf>
      <font>
        <strike val="0"/>
        <u val="none"/>
        <name val="Microsoft YaHei UI"/>
        <scheme val="none"/>
      </font>
      <numFmt numFmtId="178" formatCode="0_);\!\-0_)"/>
      <alignment horizontal="right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3743705557422"/>
        <name val="Microsoft YaHei UI"/>
        <charset val="134"/>
        <scheme val="none"/>
      </font>
      <numFmt numFmtId="178" formatCode="0_);\!\-0_)"/>
    </dxf>
    <dxf>
      <font>
        <strike val="0"/>
        <u val="none"/>
        <name val="Microsoft YaHei UI"/>
        <scheme val="none"/>
      </font>
      <numFmt numFmtId="178" formatCode="0_);\!\-0_)"/>
      <alignment horizontal="right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3743705557422"/>
        <name val="Microsoft YaHei UI"/>
        <charset val="134"/>
        <scheme val="none"/>
      </font>
      <numFmt numFmtId="178" formatCode="0_);\!\-0_)"/>
    </dxf>
    <dxf>
      <font>
        <strike val="0"/>
        <u val="none"/>
        <name val="Microsoft YaHei UI"/>
        <scheme val="none"/>
      </font>
      <numFmt numFmtId="178" formatCode="0_);\!\-0_)"/>
      <alignment horizontal="right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3743705557422"/>
        <name val="Microsoft YaHei UI"/>
        <charset val="134"/>
        <scheme val="none"/>
      </font>
      <numFmt numFmtId="178" formatCode="0_);\!\-0_)"/>
    </dxf>
    <dxf>
      <font>
        <strike val="0"/>
        <u val="none"/>
        <name val="Microsoft YaHei UI"/>
        <scheme val="none"/>
      </font>
      <numFmt numFmtId="178" formatCode="0_);\!\-0_)"/>
      <alignment horizontal="right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3743705557422"/>
        <name val="Microsoft YaHei UI"/>
        <charset val="134"/>
        <scheme val="none"/>
      </font>
      <numFmt numFmtId="178" formatCode="0_);\!\-0_)"/>
    </dxf>
    <dxf>
      <font>
        <strike val="0"/>
        <u val="none"/>
        <name val="Microsoft YaHei UI"/>
        <scheme val="none"/>
      </font>
      <numFmt numFmtId="178" formatCode="0_);\!\-0_)"/>
      <alignment horizontal="right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3743705557422"/>
        <name val="Microsoft YaHei UI"/>
        <charset val="134"/>
        <scheme val="none"/>
      </font>
      <numFmt numFmtId="178" formatCode="0_);\!\-0_)"/>
    </dxf>
    <dxf>
      <font>
        <strike val="0"/>
        <u val="none"/>
        <name val="Microsoft YaHei UI"/>
        <scheme val="none"/>
      </font>
      <numFmt numFmtId="178" formatCode="0_);\!\-0_)"/>
      <alignment horizontal="right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3743705557422"/>
        <name val="Microsoft YaHei UI"/>
        <charset val="134"/>
        <scheme val="none"/>
      </font>
      <numFmt numFmtId="178" formatCode="0_);\!\-0_)"/>
    </dxf>
    <dxf>
      <font>
        <strike val="0"/>
        <u val="none"/>
        <name val="Microsoft YaHei UI"/>
        <scheme val="none"/>
      </font>
      <numFmt numFmtId="178" formatCode="0_);\!\-0_)"/>
      <alignment horizontal="right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3743705557422"/>
        <name val="Microsoft YaHei UI"/>
        <charset val="134"/>
        <scheme val="none"/>
      </font>
      <numFmt numFmtId="178" formatCode="0_);\!\-0_)"/>
    </dxf>
    <dxf>
      <font>
        <strike val="0"/>
        <u val="none"/>
        <name val="Microsoft YaHei UI"/>
        <scheme val="none"/>
      </font>
      <numFmt numFmtId="178" formatCode="0_);\!\-0_)"/>
      <alignment horizontal="right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3743705557422"/>
        <name val="Microsoft YaHei UI"/>
        <charset val="134"/>
        <scheme val="none"/>
      </font>
      <numFmt numFmtId="178" formatCode="0_);\!\-0_)"/>
    </dxf>
    <dxf>
      <font>
        <strike val="0"/>
        <u val="none"/>
        <name val="Microsoft YaHei UI"/>
        <scheme val="none"/>
      </font>
      <numFmt numFmtId="178" formatCode="0_);\!\-0_)"/>
      <alignment horizontal="right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3743705557422"/>
        <name val="Microsoft YaHei UI"/>
        <charset val="134"/>
        <scheme val="none"/>
      </font>
      <numFmt numFmtId="178" formatCode="0_);\!\-0_)"/>
    </dxf>
    <dxf>
      <font>
        <strike val="0"/>
        <u val="none"/>
        <name val="Microsoft YaHei UI"/>
        <scheme val="none"/>
      </font>
      <numFmt numFmtId="178" formatCode="0_);\!\-0_)"/>
      <alignment horizontal="right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3743705557422"/>
        <name val="Microsoft YaHei UI"/>
        <charset val="134"/>
        <scheme val="none"/>
      </font>
      <numFmt numFmtId="178" formatCode="0_);\!\-0_)"/>
    </dxf>
    <dxf>
      <font>
        <strike val="0"/>
        <u val="none"/>
        <name val="Microsoft YaHei UI"/>
        <scheme val="none"/>
      </font>
      <numFmt numFmtId="178" formatCode="0_);\!\-0_)"/>
      <alignment horizontal="right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3743705557422"/>
        <name val="Microsoft YaHei UI"/>
        <charset val="134"/>
        <scheme val="none"/>
      </font>
      <fill>
        <patternFill patternType="solid">
          <fgColor indexed="64"/>
          <bgColor theme="0"/>
        </patternFill>
      </fill>
      <border diagonalUp="0" diagonalDown="0" outline="0">
        <left/>
        <right/>
        <top style="thin">
          <color theme="0"/>
        </top>
        <bottom style="thin">
          <color theme="0"/>
        </bottom>
      </border>
    </dxf>
    <dxf>
      <font>
        <strike val="0"/>
        <u val="none"/>
        <name val="Microsoft YaHei UI"/>
        <scheme val="none"/>
      </font>
      <fill>
        <patternFill patternType="solid">
          <bgColor theme="0"/>
        </patternFill>
      </fill>
      <border>
        <left/>
        <right/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3743705557422"/>
        <name val="Microsoft YaHei UI"/>
        <charset val="134"/>
        <scheme val="none"/>
      </font>
      <alignment horizontal="left" vertical="center" textRotation="0" wrapText="0" indent="1" justifyLastLine="0" shrinkToFit="0" readingOrder="0"/>
    </dxf>
    <dxf>
      <font>
        <strike val="0"/>
        <u val="none"/>
        <sz val="10"/>
        <color theme="1" tint="0.499984740745262"/>
        <name val="Microsoft YaHei UI"/>
        <scheme val="none"/>
      </font>
      <fill>
        <patternFill patternType="none"/>
      </fill>
      <alignment horizontal="left" vertical="center" inden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3743705557422"/>
        <name val="Microsoft YaHei UI"/>
        <charset val="134"/>
        <scheme val="none"/>
      </font>
      <alignment horizontal="general" vertical="center" textRotation="0" wrapText="0" indent="0" justifyLastLine="0" shrinkToFit="0" readingOrder="0"/>
    </dxf>
    <dxf>
      <font>
        <strike val="0"/>
        <u val="none"/>
        <color theme="1" tint="0.14993743705557422"/>
        <name val="Microsoft YaHei UI"/>
        <family val="2"/>
        <charset val="134"/>
        <scheme val="none"/>
      </font>
      <numFmt numFmtId="0" formatCode="General"/>
      <fill>
        <patternFill patternType="none"/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3743705557422"/>
        <name val="Microsoft YaHei UI"/>
        <charset val="134"/>
        <scheme val="none"/>
      </font>
      <numFmt numFmtId="178" formatCode="0_);\!\-0_)"/>
      <alignment horizontal="general" vertical="center" textRotation="0" wrapText="0" indent="0" justifyLastLine="0" shrinkToFit="0" readingOrder="0"/>
    </dxf>
    <dxf>
      <font>
        <strike val="0"/>
        <u val="none"/>
        <name val="Microsoft YaHei UI"/>
        <scheme val="none"/>
      </font>
      <numFmt numFmtId="178" formatCode="0_);\!\-0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3743705557422"/>
        <name val="Microsoft YaHei UI"/>
        <charset val="134"/>
        <scheme val="none"/>
      </font>
      <numFmt numFmtId="178" formatCode="0_);\!\-0_)"/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 style="thin">
          <color theme="0"/>
        </top>
        <bottom style="thin">
          <color theme="0"/>
        </bottom>
      </border>
    </dxf>
    <dxf>
      <font>
        <b val="0"/>
        <i val="0"/>
        <strike val="0"/>
        <u val="none"/>
        <sz val="10"/>
        <color theme="1" tint="0.14993743705557422"/>
        <name val="Microsoft YaHei UI"/>
        <scheme val="none"/>
      </font>
      <numFmt numFmtId="3" formatCode="#,##0"/>
      <fill>
        <patternFill patternType="none"/>
      </fill>
      <border>
        <left/>
        <right/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3743705557422"/>
        <name val="Microsoft YaHei UI"/>
        <charset val="134"/>
        <scheme val="none"/>
      </font>
      <numFmt numFmtId="178" formatCode="0_);\!\-0_)"/>
      <alignment horizontal="general" vertical="center" textRotation="0" wrapText="0" indent="0" justifyLastLine="0" shrinkToFit="0" readingOrder="0"/>
    </dxf>
    <dxf>
      <font>
        <strike val="0"/>
        <u val="none"/>
        <name val="Microsoft YaHei UI"/>
        <scheme val="none"/>
      </font>
      <numFmt numFmtId="178" formatCode="0_);\!\-0_)"/>
      <alignment horizontal="right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3743705557422"/>
        <name val="Microsoft YaHei UI"/>
        <charset val="134"/>
        <scheme val="none"/>
      </font>
      <numFmt numFmtId="178" formatCode="0_);\!\-0_)"/>
      <alignment horizontal="general" vertical="center" textRotation="0" wrapText="0" indent="0" justifyLastLine="0" shrinkToFit="0" readingOrder="0"/>
    </dxf>
    <dxf>
      <font>
        <strike val="0"/>
        <u val="none"/>
        <name val="Microsoft YaHei UI"/>
        <scheme val="none"/>
      </font>
      <numFmt numFmtId="178" formatCode="0_);\!\-0_)"/>
      <alignment horizontal="right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3743705557422"/>
        <name val="Microsoft YaHei UI"/>
        <charset val="134"/>
        <scheme val="none"/>
      </font>
      <numFmt numFmtId="178" formatCode="0_);\!\-0_)"/>
      <alignment horizontal="general" vertical="center" textRotation="0" wrapText="0" indent="0" justifyLastLine="0" shrinkToFit="0" readingOrder="0"/>
    </dxf>
    <dxf>
      <font>
        <strike val="0"/>
        <u val="none"/>
        <name val="Microsoft YaHei UI"/>
        <scheme val="none"/>
      </font>
      <numFmt numFmtId="178" formatCode="0_);\!\-0_)"/>
      <alignment horizontal="right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3743705557422"/>
        <name val="Microsoft YaHei UI"/>
        <charset val="134"/>
        <scheme val="none"/>
      </font>
      <numFmt numFmtId="178" formatCode="0_);\!\-0_)"/>
      <alignment horizontal="general" vertical="center" textRotation="0" wrapText="0" indent="0" justifyLastLine="0" shrinkToFit="0" readingOrder="0"/>
    </dxf>
    <dxf>
      <font>
        <strike val="0"/>
        <u val="none"/>
        <name val="Microsoft YaHei UI"/>
        <scheme val="none"/>
      </font>
      <numFmt numFmtId="178" formatCode="0_);\!\-0_)"/>
      <alignment horizontal="right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3743705557422"/>
        <name val="Microsoft YaHei UI"/>
        <charset val="134"/>
        <scheme val="none"/>
      </font>
      <numFmt numFmtId="178" formatCode="0_);\!\-0_)"/>
      <alignment horizontal="general" vertical="center" textRotation="0" wrapText="0" indent="0" justifyLastLine="0" shrinkToFit="0" readingOrder="0"/>
    </dxf>
    <dxf>
      <font>
        <strike val="0"/>
        <u val="none"/>
        <name val="Microsoft YaHei UI"/>
        <scheme val="none"/>
      </font>
      <numFmt numFmtId="178" formatCode="0_);\!\-0_)"/>
      <alignment horizontal="right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3743705557422"/>
        <name val="Microsoft YaHei UI"/>
        <charset val="134"/>
        <scheme val="none"/>
      </font>
      <numFmt numFmtId="178" formatCode="0_);\!\-0_)"/>
      <alignment horizontal="general" vertical="center" textRotation="0" wrapText="0" indent="0" justifyLastLine="0" shrinkToFit="0" readingOrder="0"/>
    </dxf>
    <dxf>
      <font>
        <strike val="0"/>
        <u val="none"/>
        <name val="Microsoft YaHei UI"/>
        <scheme val="none"/>
      </font>
      <numFmt numFmtId="178" formatCode="0_);\!\-0_)"/>
      <alignment horizontal="right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3743705557422"/>
        <name val="Microsoft YaHei UI"/>
        <charset val="134"/>
        <scheme val="none"/>
      </font>
      <numFmt numFmtId="178" formatCode="0_);\!\-0_)"/>
      <alignment horizontal="general" vertical="center" textRotation="0" wrapText="0" indent="0" justifyLastLine="0" shrinkToFit="0" readingOrder="0"/>
    </dxf>
    <dxf>
      <font>
        <strike val="0"/>
        <u val="none"/>
        <name val="Microsoft YaHei UI"/>
        <scheme val="none"/>
      </font>
      <numFmt numFmtId="178" formatCode="0_);\!\-0_)"/>
      <alignment horizontal="right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3743705557422"/>
        <name val="Microsoft YaHei UI"/>
        <charset val="134"/>
        <scheme val="none"/>
      </font>
      <numFmt numFmtId="178" formatCode="0_);\!\-0_)"/>
      <alignment horizontal="general" vertical="center" textRotation="0" wrapText="0" indent="0" justifyLastLine="0" shrinkToFit="0" readingOrder="0"/>
    </dxf>
    <dxf>
      <font>
        <strike val="0"/>
        <u val="none"/>
        <name val="Microsoft YaHei UI"/>
        <scheme val="none"/>
      </font>
      <numFmt numFmtId="178" formatCode="0_);\!\-0_)"/>
      <alignment horizontal="right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3743705557422"/>
        <name val="Microsoft YaHei UI"/>
        <charset val="134"/>
        <scheme val="none"/>
      </font>
      <numFmt numFmtId="178" formatCode="0_);\!\-0_)"/>
      <alignment horizontal="general" vertical="center" textRotation="0" wrapText="0" indent="0" justifyLastLine="0" shrinkToFit="0" readingOrder="0"/>
    </dxf>
    <dxf>
      <font>
        <strike val="0"/>
        <u val="none"/>
        <name val="Microsoft YaHei UI"/>
        <scheme val="none"/>
      </font>
      <numFmt numFmtId="178" formatCode="0_);\!\-0_)"/>
      <alignment horizontal="right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3743705557422"/>
        <name val="Microsoft YaHei UI"/>
        <charset val="134"/>
        <scheme val="none"/>
      </font>
      <numFmt numFmtId="178" formatCode="0_);\!\-0_)"/>
      <alignment horizontal="general" vertical="center" textRotation="0" wrapText="0" indent="0" justifyLastLine="0" shrinkToFit="0" readingOrder="0"/>
    </dxf>
    <dxf>
      <font>
        <strike val="0"/>
        <u val="none"/>
        <name val="Microsoft YaHei UI"/>
        <scheme val="none"/>
      </font>
      <numFmt numFmtId="178" formatCode="0_);\!\-0_)"/>
      <alignment horizontal="right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3743705557422"/>
        <name val="Microsoft YaHei UI"/>
        <charset val="134"/>
        <scheme val="none"/>
      </font>
      <numFmt numFmtId="178" formatCode="0_);\!\-0_)"/>
      <alignment horizontal="general" vertical="center" textRotation="0" wrapText="0" indent="0" justifyLastLine="0" shrinkToFit="0" readingOrder="0"/>
    </dxf>
    <dxf>
      <font>
        <strike val="0"/>
        <u val="none"/>
        <name val="Microsoft YaHei UI"/>
        <scheme val="none"/>
      </font>
      <numFmt numFmtId="178" formatCode="0_);\!\-0_)"/>
      <alignment horizontal="right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3743705557422"/>
        <name val="Microsoft YaHei UI"/>
        <charset val="134"/>
        <scheme val="none"/>
      </font>
      <numFmt numFmtId="178" formatCode="0_);\!\-0_)"/>
      <alignment horizontal="general" vertical="center" textRotation="0" wrapText="0" indent="0" justifyLastLine="0" shrinkToFit="0" readingOrder="0"/>
    </dxf>
    <dxf>
      <font>
        <strike val="0"/>
        <u val="none"/>
        <name val="Microsoft YaHei UI"/>
        <scheme val="none"/>
      </font>
      <numFmt numFmtId="178" formatCode="0_);\!\-0_)"/>
      <alignment horizontal="right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3743705557422"/>
        <name val="Microsoft YaHei UI"/>
        <charset val="134"/>
        <scheme val="none"/>
      </font>
      <numFmt numFmtId="178" formatCode="0_);\!\-0_)"/>
      <alignment horizontal="general" vertical="center" textRotation="0" wrapText="0" indent="0" justifyLastLine="0" shrinkToFit="0" readingOrder="0"/>
    </dxf>
    <dxf>
      <font>
        <strike val="0"/>
        <u val="none"/>
        <name val="Microsoft YaHei UI"/>
        <scheme val="none"/>
      </font>
      <numFmt numFmtId="178" formatCode="0_);\!\-0_)"/>
      <alignment horizontal="right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3743705557422"/>
        <name val="Microsoft YaHei UI"/>
        <charset val="134"/>
        <scheme val="none"/>
      </font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 style="thin">
          <color theme="0"/>
        </top>
        <bottom style="thin">
          <color theme="0"/>
        </bottom>
      </border>
    </dxf>
    <dxf>
      <font>
        <strike val="0"/>
        <u val="none"/>
        <name val="Microsoft YaHei UI"/>
        <scheme val="none"/>
      </font>
      <fill>
        <patternFill patternType="solid">
          <bgColor theme="0"/>
        </patternFill>
      </fill>
      <border>
        <left/>
        <right/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3743705557422"/>
        <name val="Microsoft YaHei UI"/>
        <charset val="134"/>
        <scheme val="none"/>
      </font>
      <alignment horizontal="left" vertical="center" textRotation="0" wrapText="0" indent="1" justifyLastLine="0" shrinkToFit="0" readingOrder="0"/>
    </dxf>
    <dxf>
      <font>
        <strike val="0"/>
        <u val="none"/>
        <sz val="10"/>
        <color theme="1" tint="0.499984740745262"/>
        <name val="Microsoft YaHei UI"/>
        <family val="2"/>
        <charset val="134"/>
        <scheme val="none"/>
      </font>
      <fill>
        <patternFill patternType="none"/>
      </fill>
      <alignment horizontal="left" vertical="center" inden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3743705557422"/>
        <name val="Microsoft YaHei UI"/>
        <charset val="134"/>
        <scheme val="none"/>
      </font>
      <alignment horizontal="general" vertical="center" textRotation="0" wrapText="0" indent="0" justifyLastLine="0" shrinkToFit="0" readingOrder="0"/>
    </dxf>
    <dxf>
      <font>
        <strike val="0"/>
        <u val="none"/>
        <name val="Microsoft YaHei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3743705557422"/>
        <name val="Microsoft YaHei UI"/>
        <charset val="134"/>
        <scheme val="none"/>
      </font>
      <numFmt numFmtId="178" formatCode="0_);\!\-0_)"/>
      <alignment horizontal="general" vertical="center" textRotation="0" wrapText="0" indent="0" justifyLastLine="0" shrinkToFit="0" readingOrder="0"/>
    </dxf>
    <dxf>
      <font>
        <strike val="0"/>
        <u val="none"/>
        <name val="Microsoft YaHei UI"/>
        <scheme val="none"/>
      </font>
      <numFmt numFmtId="178" formatCode="0_);\!\-0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3743705557422"/>
        <name val="Microsoft YaHei UI"/>
        <charset val="134"/>
        <scheme val="none"/>
      </font>
      <numFmt numFmtId="178" formatCode="0_);\!\-0_)"/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 style="thin">
          <color theme="0"/>
        </top>
        <bottom style="thin">
          <color theme="0"/>
        </bottom>
      </border>
    </dxf>
    <dxf>
      <font>
        <strike val="0"/>
        <u val="none"/>
        <name val="Microsoft YaHei UI"/>
        <scheme val="none"/>
      </font>
      <numFmt numFmtId="178" formatCode="0_);\!\-0_)"/>
      <fill>
        <patternFill patternType="solid">
          <bgColor theme="0"/>
        </patternFill>
      </fill>
      <border>
        <left/>
        <right/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3743705557422"/>
        <name val="Microsoft YaHei UI"/>
        <charset val="134"/>
        <scheme val="none"/>
      </font>
      <numFmt numFmtId="178" formatCode="0_);\!\-0_)"/>
      <alignment horizontal="general" vertical="center" textRotation="0" wrapText="0" indent="0" justifyLastLine="0" shrinkToFit="0" readingOrder="0"/>
    </dxf>
    <dxf>
      <font>
        <strike val="0"/>
        <u val="none"/>
        <name val="Microsoft YaHei UI"/>
        <scheme val="none"/>
      </font>
      <numFmt numFmtId="178" formatCode="0_);\!\-0_)"/>
      <alignment horizontal="right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3743705557422"/>
        <name val="Microsoft YaHei UI"/>
        <charset val="134"/>
        <scheme val="none"/>
      </font>
      <numFmt numFmtId="178" formatCode="0_);\!\-0_)"/>
      <alignment horizontal="general" vertical="center" textRotation="0" wrapText="0" indent="0" justifyLastLine="0" shrinkToFit="0" readingOrder="0"/>
    </dxf>
    <dxf>
      <font>
        <strike val="0"/>
        <u val="none"/>
        <name val="Microsoft YaHei UI"/>
        <scheme val="none"/>
      </font>
      <numFmt numFmtId="178" formatCode="0_);\!\-0_)"/>
      <alignment horizontal="right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3743705557422"/>
        <name val="Microsoft YaHei UI"/>
        <charset val="134"/>
        <scheme val="none"/>
      </font>
      <numFmt numFmtId="178" formatCode="0_);\!\-0_)"/>
      <alignment horizontal="general" vertical="center" textRotation="0" wrapText="0" indent="0" justifyLastLine="0" shrinkToFit="0" readingOrder="0"/>
    </dxf>
    <dxf>
      <font>
        <strike val="0"/>
        <u val="none"/>
        <name val="Microsoft YaHei UI"/>
        <scheme val="none"/>
      </font>
      <numFmt numFmtId="178" formatCode="0_);\!\-0_)"/>
      <alignment horizontal="right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3743705557422"/>
        <name val="Microsoft YaHei UI"/>
        <charset val="134"/>
        <scheme val="none"/>
      </font>
      <numFmt numFmtId="178" formatCode="0_);\!\-0_)"/>
      <alignment horizontal="general" vertical="center" textRotation="0" wrapText="0" indent="0" justifyLastLine="0" shrinkToFit="0" readingOrder="0"/>
    </dxf>
    <dxf>
      <font>
        <strike val="0"/>
        <u val="none"/>
        <name val="Microsoft YaHei UI"/>
        <scheme val="none"/>
      </font>
      <numFmt numFmtId="178" formatCode="0_);\!\-0_)"/>
      <alignment horizontal="right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3743705557422"/>
        <name val="Microsoft YaHei UI"/>
        <charset val="134"/>
        <scheme val="none"/>
      </font>
      <numFmt numFmtId="178" formatCode="0_);\!\-0_)"/>
      <alignment horizontal="general" vertical="center" textRotation="0" wrapText="0" indent="0" justifyLastLine="0" shrinkToFit="0" readingOrder="0"/>
    </dxf>
    <dxf>
      <font>
        <strike val="0"/>
        <u val="none"/>
        <name val="Microsoft YaHei UI"/>
        <scheme val="none"/>
      </font>
      <numFmt numFmtId="178" formatCode="0_);\!\-0_)"/>
      <alignment horizontal="right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3743705557422"/>
        <name val="Microsoft YaHei UI"/>
        <charset val="134"/>
        <scheme val="none"/>
      </font>
      <numFmt numFmtId="178" formatCode="0_);\!\-0_)"/>
      <alignment horizontal="general" vertical="center" textRotation="0" wrapText="0" indent="0" justifyLastLine="0" shrinkToFit="0" readingOrder="0"/>
    </dxf>
    <dxf>
      <font>
        <strike val="0"/>
        <u val="none"/>
        <name val="Microsoft YaHei UI"/>
        <scheme val="none"/>
      </font>
      <numFmt numFmtId="178" formatCode="0_);\!\-0_)"/>
      <alignment horizontal="right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3743705557422"/>
        <name val="Microsoft YaHei UI"/>
        <charset val="134"/>
        <scheme val="none"/>
      </font>
      <numFmt numFmtId="178" formatCode="0_);\!\-0_)"/>
      <alignment horizontal="general" vertical="center" textRotation="0" wrapText="0" indent="0" justifyLastLine="0" shrinkToFit="0" readingOrder="0"/>
    </dxf>
    <dxf>
      <font>
        <strike val="0"/>
        <u val="none"/>
        <name val="Microsoft YaHei UI"/>
        <scheme val="none"/>
      </font>
      <numFmt numFmtId="178" formatCode="0_);\!\-0_)"/>
      <alignment horizontal="right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3743705557422"/>
        <name val="Microsoft YaHei UI"/>
        <charset val="134"/>
        <scheme val="none"/>
      </font>
      <numFmt numFmtId="178" formatCode="0_);\!\-0_)"/>
      <alignment horizontal="general" vertical="center" textRotation="0" wrapText="0" indent="0" justifyLastLine="0" shrinkToFit="0" readingOrder="0"/>
    </dxf>
    <dxf>
      <font>
        <strike val="0"/>
        <u val="none"/>
        <name val="Microsoft YaHei UI"/>
        <scheme val="none"/>
      </font>
      <numFmt numFmtId="178" formatCode="0_);\!\-0_)"/>
      <alignment horizontal="right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3743705557422"/>
        <name val="Microsoft YaHei UI"/>
        <charset val="134"/>
        <scheme val="none"/>
      </font>
      <numFmt numFmtId="178" formatCode="0_);\!\-0_)"/>
      <alignment horizontal="general" vertical="center" textRotation="0" wrapText="0" indent="0" justifyLastLine="0" shrinkToFit="0" readingOrder="0"/>
    </dxf>
    <dxf>
      <font>
        <strike val="0"/>
        <u val="none"/>
        <name val="Microsoft YaHei UI"/>
        <scheme val="none"/>
      </font>
      <numFmt numFmtId="178" formatCode="0_);\!\-0_)"/>
      <alignment horizontal="right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3743705557422"/>
        <name val="Microsoft YaHei UI"/>
        <charset val="134"/>
        <scheme val="none"/>
      </font>
      <numFmt numFmtId="178" formatCode="0_);\!\-0_)"/>
      <alignment horizontal="general" vertical="center" textRotation="0" wrapText="0" indent="0" justifyLastLine="0" shrinkToFit="0" readingOrder="0"/>
    </dxf>
    <dxf>
      <font>
        <strike val="0"/>
        <u val="none"/>
        <name val="Microsoft YaHei UI"/>
        <scheme val="none"/>
      </font>
      <numFmt numFmtId="178" formatCode="0_);\!\-0_)"/>
      <alignment horizontal="right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3743705557422"/>
        <name val="Microsoft YaHei UI"/>
        <charset val="134"/>
        <scheme val="none"/>
      </font>
      <numFmt numFmtId="178" formatCode="0_);\!\-0_)"/>
      <alignment horizontal="general" vertical="center" textRotation="0" wrapText="0" indent="0" justifyLastLine="0" shrinkToFit="0" readingOrder="0"/>
    </dxf>
    <dxf>
      <font>
        <strike val="0"/>
        <u val="none"/>
        <name val="Microsoft YaHei UI"/>
        <scheme val="none"/>
      </font>
      <numFmt numFmtId="178" formatCode="0_);\!\-0_)"/>
      <alignment horizontal="right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3743705557422"/>
        <name val="Microsoft YaHei UI"/>
        <charset val="134"/>
        <scheme val="none"/>
      </font>
      <numFmt numFmtId="178" formatCode="0_);\!\-0_)"/>
      <alignment horizontal="general" vertical="center" textRotation="0" wrapText="0" indent="0" justifyLastLine="0" shrinkToFit="0" readingOrder="0"/>
    </dxf>
    <dxf>
      <font>
        <strike val="0"/>
        <u val="none"/>
        <color theme="1" tint="0.14993743705557422"/>
        <name val="Microsoft YaHei UI"/>
        <family val="2"/>
        <charset val="134"/>
        <scheme val="none"/>
      </font>
      <numFmt numFmtId="178" formatCode="0_);\!\-0_)"/>
      <alignment horizontal="right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3743705557422"/>
        <name val="Microsoft YaHei UI"/>
        <charset val="134"/>
        <scheme val="none"/>
      </font>
      <numFmt numFmtId="178" formatCode="0_);\!\-0_)"/>
      <alignment horizontal="general" vertical="center" textRotation="0" wrapText="0" indent="0" justifyLastLine="0" shrinkToFit="0" readingOrder="0"/>
    </dxf>
    <dxf>
      <font>
        <strike val="0"/>
        <u val="none"/>
        <name val="Microsoft YaHei UI"/>
        <scheme val="none"/>
      </font>
      <alignment horizontal="right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3743705557422"/>
        <name val="Microsoft YaHei UI"/>
        <charset val="134"/>
        <scheme val="none"/>
      </font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 style="thick">
          <color theme="0"/>
        </bottom>
      </border>
    </dxf>
    <dxf>
      <font>
        <strike val="0"/>
        <u val="none"/>
        <name val="Microsoft YaHei UI"/>
        <scheme val="none"/>
      </font>
      <fill>
        <patternFill patternType="solid">
          <bgColor theme="0"/>
        </patternFill>
      </fill>
      <border>
        <left/>
        <right/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Microsoft YaHei UI"/>
        <charset val="134"/>
        <scheme val="none"/>
      </font>
      <numFmt numFmtId="178" formatCode="0_);\!\-0_)"/>
      <alignment horizontal="left" vertical="center" textRotation="0" wrapText="0" indent="1" justifyLastLine="0" shrinkToFit="0" readingOrder="0"/>
    </dxf>
    <dxf>
      <font>
        <strike val="0"/>
        <u val="none"/>
        <sz val="10"/>
        <color theme="1" tint="0.499984740745262"/>
        <name val="Microsoft YaHei UI"/>
        <scheme val="none"/>
      </font>
      <numFmt numFmtId="178" formatCode="0_);\!\-0_)"/>
      <alignment horizontal="left" vertical="center" indent="1"/>
    </dxf>
    <dxf>
      <font>
        <b/>
        <i val="0"/>
        <color theme="0"/>
      </font>
      <fill>
        <patternFill patternType="solid">
          <bgColor theme="1"/>
        </patternFill>
      </fill>
      <border>
        <left/>
        <right/>
        <top style="thick">
          <color theme="6" tint="0.79995117038483843"/>
        </top>
        <bottom/>
        <vertical/>
        <horizontal/>
      </border>
    </dxf>
    <dxf>
      <font>
        <b/>
        <i val="0"/>
        <color theme="0"/>
      </font>
      <fill>
        <patternFill patternType="solid">
          <bgColor theme="1"/>
        </patternFill>
      </fill>
      <border>
        <left/>
        <right/>
        <top/>
        <bottom style="thick">
          <color theme="0"/>
        </bottom>
        <vertical/>
        <horizontal/>
      </border>
    </dxf>
    <dxf>
      <border>
        <top style="thin">
          <color theme="6" tint="0.79995117038483843"/>
        </top>
        <bottom style="thin">
          <color theme="6" tint="0.79995117038483843"/>
        </bottom>
        <vertical style="dotted">
          <color theme="6" tint="0.79995117038483843"/>
        </vertical>
        <horizontal style="thin">
          <color theme="6" tint="0.79995117038483843"/>
        </horizontal>
      </border>
    </dxf>
    <dxf>
      <border>
        <left/>
        <right style="dotted">
          <color theme="4" tint="0.39991454817346722"/>
        </right>
        <top style="thin">
          <color theme="4" tint="0.39991454817346722"/>
        </top>
        <bottom style="thin">
          <color theme="4" tint="0.39991454817346722"/>
        </bottom>
        <vertical style="dotted">
          <color theme="4" tint="0.39991454817346722"/>
        </vertical>
        <horizontal style="thin">
          <color theme="4" tint="0.39991454817346722"/>
        </horizontal>
      </border>
    </dxf>
    <dxf>
      <border>
        <left/>
        <right style="dotted">
          <color theme="4" tint="0.39991454817346722"/>
        </right>
        <top style="thin">
          <color theme="4" tint="0.39991454817346722"/>
        </top>
        <bottom style="thin">
          <color theme="4" tint="0.39991454817346722"/>
        </bottom>
        <vertical style="dotted">
          <color theme="4" tint="0.39991454817346722"/>
        </vertical>
        <horizontal/>
      </border>
    </dxf>
    <dxf>
      <font>
        <b/>
        <i val="0"/>
        <color theme="0"/>
      </font>
      <fill>
        <patternFill patternType="solid">
          <bgColor theme="1"/>
        </patternFill>
      </fill>
      <border>
        <top style="thick">
          <color theme="0"/>
        </top>
        <vertical/>
        <horizontal/>
      </border>
    </dxf>
    <dxf>
      <font>
        <b/>
        <i val="0"/>
        <color theme="0"/>
      </font>
      <fill>
        <patternFill patternType="solid">
          <bgColor theme="1"/>
        </patternFill>
      </fill>
      <border>
        <left/>
        <right/>
        <top/>
        <bottom style="thick">
          <color theme="6" tint="0.79995117038483843"/>
        </bottom>
        <vertical/>
        <horizontal/>
      </border>
    </dxf>
    <dxf>
      <border>
        <left/>
        <right style="dotted">
          <color theme="5" tint="0.39988402966399123"/>
        </right>
        <top style="thin">
          <color theme="5" tint="0.39991454817346722"/>
        </top>
        <bottom style="thin">
          <color theme="5" tint="0.39991454817346722"/>
        </bottom>
        <vertical style="dotted">
          <color theme="5" tint="0.39991454817346722"/>
        </vertical>
        <horizontal style="thin">
          <color theme="5" tint="0.39991454817346722"/>
        </horizontal>
      </border>
    </dxf>
    <dxf>
      <border>
        <left/>
        <right style="dotted">
          <color theme="5" tint="0.39988402966399123"/>
        </right>
        <top style="thin">
          <color theme="5" tint="0.39991454817346722"/>
        </top>
        <bottom style="thin">
          <color theme="5" tint="0.39991454817346722"/>
        </bottom>
        <vertical style="dotted">
          <color theme="5" tint="0.39988402966399123"/>
        </vertical>
        <horizontal/>
      </border>
    </dxf>
    <dxf>
      <font>
        <b/>
        <i val="0"/>
        <color theme="0"/>
      </font>
      <fill>
        <patternFill patternType="solid">
          <bgColor theme="1"/>
        </patternFill>
      </fill>
      <border>
        <top style="thick">
          <color theme="0"/>
        </top>
        <vertical/>
        <horizontal/>
      </border>
    </dxf>
    <dxf>
      <font>
        <b/>
        <i val="0"/>
        <color theme="0"/>
      </font>
      <fill>
        <patternFill patternType="solid">
          <bgColor theme="1"/>
        </patternFill>
      </fill>
      <border>
        <left/>
        <right/>
        <top/>
        <bottom style="thick">
          <color theme="6" tint="0.79992065187536243"/>
        </bottom>
        <vertical/>
        <horizontal/>
      </border>
    </dxf>
    <dxf>
      <fill>
        <patternFill patternType="solid">
          <fgColor theme="4" tint="0.79992065187536243"/>
          <bgColor theme="4" tint="0.79992065187536243"/>
        </patternFill>
      </fill>
    </dxf>
    <dxf>
      <fill>
        <patternFill patternType="solid">
          <fgColor theme="4" tint="0.79992065187536243"/>
          <bgColor theme="4" tint="0.79992065187536243"/>
        </patternFill>
      </fill>
    </dxf>
    <dxf>
      <font>
        <b/>
        <color theme="1"/>
      </font>
    </dxf>
    <dxf>
      <font>
        <b val="0"/>
        <i val="0"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 tint="-0.499984740745262"/>
        </patternFill>
      </fill>
    </dxf>
    <dxf>
      <font>
        <color theme="1"/>
      </font>
      <border>
        <left style="thin">
          <color theme="4" tint="0.39991454817346722"/>
        </left>
        <right style="thin">
          <color theme="4" tint="0.39991454817346722"/>
        </right>
        <top style="thin">
          <color theme="4" tint="0.39991454817346722"/>
        </top>
        <bottom style="thin">
          <color theme="4" tint="0.39991454817346722"/>
        </bottom>
        <horizontal style="thin">
          <color theme="4" tint="0.39991454817346722"/>
        </horizontal>
      </border>
    </dxf>
    <dxf>
      <font>
        <b/>
        <i val="0"/>
      </font>
      <fill>
        <patternFill patternType="solid">
          <bgColor theme="0" tint="-4.9989318521683403E-2"/>
        </patternFill>
      </fill>
      <border>
        <left/>
        <right/>
        <top style="thin">
          <color theme="0" tint="-0.14990691854609822"/>
        </top>
        <bottom style="thin">
          <color theme="0" tint="-0.14990691854609822"/>
        </bottom>
        <vertical style="thin">
          <color theme="0" tint="-0.14990691854609822"/>
        </vertical>
        <horizontal style="thin">
          <color theme="0" tint="-0.14990691854609822"/>
        </horizontal>
      </border>
    </dxf>
    <dxf>
      <font>
        <color auto="1"/>
      </font>
      <fill>
        <patternFill patternType="none"/>
      </fill>
      <border>
        <left/>
        <right/>
        <top style="thin">
          <color theme="8"/>
        </top>
        <bottom style="thin">
          <color theme="0" tint="-0.14990691854609822"/>
        </bottom>
        <vertical/>
        <horizontal/>
      </border>
    </dxf>
    <dxf>
      <font>
        <b val="0"/>
        <i val="0"/>
        <color auto="1"/>
      </font>
      <fill>
        <patternFill patternType="none"/>
      </fill>
      <border>
        <left/>
        <right/>
        <top style="thin">
          <color theme="8"/>
        </top>
        <bottom style="thin">
          <color theme="0" tint="-0.14990691854609822"/>
        </bottom>
        <vertical style="thin">
          <color theme="0" tint="-0.14990691854609822"/>
        </vertical>
        <horizontal style="thin">
          <color theme="0" tint="-0.14990691854609822"/>
        </horizontal>
      </border>
    </dxf>
    <dxf>
      <fill>
        <patternFill patternType="none"/>
      </fill>
    </dxf>
    <dxf>
      <font>
        <color theme="1" tint="0.14993743705557422"/>
      </font>
    </dxf>
    <dxf>
      <border>
        <left style="dotted">
          <color theme="0" tint="-0.34998626667073579"/>
        </left>
        <right style="dotted">
          <color theme="0" tint="-0.34998626667073579"/>
        </right>
        <top style="thin">
          <color theme="0" tint="-0.34998626667073579"/>
        </top>
        <bottom style="dotted">
          <color theme="0" tint="-0.34998626667073579"/>
        </bottom>
        <vertical/>
        <horizontal/>
      </border>
    </dxf>
    <dxf>
      <font>
        <b val="0"/>
        <i val="0"/>
        <color theme="1" tint="0.34998626667073579"/>
      </font>
    </dxf>
    <dxf>
      <font>
        <b val="0"/>
        <i val="0"/>
        <color theme="1" tint="0.14993743705557422"/>
      </font>
      <fill>
        <patternFill patternType="solid">
          <bgColor theme="4" tint="0.79995117038483843"/>
        </patternFill>
      </fill>
      <border>
        <top/>
        <bottom style="medium">
          <color theme="4" tint="0.39991454817346722"/>
        </bottom>
      </border>
    </dxf>
    <dxf>
      <font>
        <b val="0"/>
        <i val="0"/>
        <color theme="1" tint="0.14993743705557422"/>
      </font>
    </dxf>
    <dxf>
      <font>
        <color theme="1" tint="0.499984740745262"/>
      </font>
      <border>
        <left/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dotted">
          <color theme="0" tint="-0.34998626667073579"/>
        </vertical>
        <horizontal style="thin">
          <color theme="0" tint="-0.34998626667073579"/>
        </horizontal>
      </border>
    </dxf>
  </dxfs>
  <tableStyles count="6" defaultTableStyle="TableStyleMedium2" defaultPivotStyle="PivotStyleLight16">
    <tableStyle name="Cash Receipts" pivot="0" count="7" xr9:uid="{671BB655-C67B-435F-9FDD-010A7E3E60AE}">
      <tableStyleElement type="wholeTable" dxfId="387"/>
      <tableStyleElement type="headerRow" dxfId="386"/>
      <tableStyleElement type="totalRow" dxfId="385"/>
      <tableStyleElement type="firstColumn" dxfId="384"/>
      <tableStyleElement type="lastColumn" dxfId="383"/>
      <tableStyleElement type="firstTotalCell" dxfId="382"/>
      <tableStyleElement type="lastTotalCell" dxfId="381"/>
    </tableStyle>
    <tableStyle name="通讯簿" pivot="0" count="3" xr9:uid="{86F9CBB2-1964-404E-B53F-7BF049F1A3C2}">
      <tableStyleElement type="wholeTable" dxfId="380"/>
      <tableStyleElement type="headerRow" dxfId="379"/>
      <tableStyleElement type="totalRow" dxfId="378"/>
    </tableStyle>
    <tableStyle name="个人月度预算" pivot="0" count="7" xr9:uid="{E3355170-59E5-4D94-A20C-1554FBD2E14B}">
      <tableStyleElement type="wholeTable" dxfId="377"/>
      <tableStyleElement type="headerRow" dxfId="376"/>
      <tableStyleElement type="totalRow" dxfId="375"/>
      <tableStyleElement type="firstColumn" dxfId="374"/>
      <tableStyleElement type="lastColumn" dxfId="373"/>
      <tableStyleElement type="firstRowStripe" dxfId="372"/>
      <tableStyleElement type="firstColumnStripe" dxfId="371"/>
    </tableStyle>
    <tableStyle name="损益收入" pivot="0" count="4" xr9:uid="{238ADA0F-7492-4957-8E51-65109454D973}">
      <tableStyleElement type="headerRow" dxfId="370"/>
      <tableStyleElement type="totalRow" dxfId="369"/>
      <tableStyleElement type="firstRowStripe" dxfId="368"/>
      <tableStyleElement type="secondRowStripe" dxfId="367"/>
    </tableStyle>
    <tableStyle name="损益销售额" pivot="0" count="4" xr9:uid="{E37183CD-6746-4627-BD3D-9EE727969197}">
      <tableStyleElement type="headerRow" dxfId="366"/>
      <tableStyleElement type="totalRow" dxfId="365"/>
      <tableStyleElement type="firstRowStripe" dxfId="364"/>
      <tableStyleElement type="secondRowStripe" dxfId="363"/>
    </tableStyle>
    <tableStyle name="自定义" pivot="0" count="3" xr9:uid="{F8D1CC68-07AD-41BB-AFD5-A1AA79EA727D}">
      <tableStyleElement type="wholeTable" dxfId="362"/>
      <tableStyleElement type="headerRow" dxfId="361"/>
      <tableStyleElement type="totalRow" dxfId="36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20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42"/>
    </mc:Choice>
    <mc:Fallback>
      <c:style val="4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lt1"/>
                </a:solidFill>
                <a:latin typeface="Microsoft YaHei UI" panose="020B0503020204020204" pitchFamily="34" charset="-122"/>
                <a:ea typeface="Microsoft YaHei UI" panose="020B0503020204020204" pitchFamily="34" charset="-122"/>
                <a:cs typeface="+mn-cs"/>
              </a:defRPr>
            </a:pPr>
            <a:r>
              <a:rPr lang="en-US"/>
              <a:t>年同比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4.1060953838306803E-2"/>
          <c:y val="0.102894736842105"/>
          <c:w val="0.94185156847742901"/>
          <c:h val="0.50947368421052597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(资产负债表!$B$6:$B$12,资产负债表!$B$15:$B$19,资产负债表!$B$22:$B$23,资产负债表!$B$29:$B$35,资产负债表!$B$38:$B$39,资产负债表!$B$42:$B$44)</c:f>
              <c:strCache>
                <c:ptCount val="26"/>
                <c:pt idx="0">
                  <c:v>现金</c:v>
                </c:pt>
                <c:pt idx="1">
                  <c:v>投资</c:v>
                </c:pt>
                <c:pt idx="2">
                  <c:v>库存</c:v>
                </c:pt>
                <c:pt idx="3">
                  <c:v>应收帐款</c:v>
                </c:pt>
                <c:pt idx="4">
                  <c:v>预付费用</c:v>
                </c:pt>
                <c:pt idx="5">
                  <c:v>其他</c:v>
                </c:pt>
                <c:pt idx="6">
                  <c:v>流动资产总额</c:v>
                </c:pt>
                <c:pt idx="7">
                  <c:v>财产和设备</c:v>
                </c:pt>
                <c:pt idx="8">
                  <c:v>租赁权益改良</c:v>
                </c:pt>
                <c:pt idx="9">
                  <c:v>所有者权益及其他投资</c:v>
                </c:pt>
                <c:pt idx="10">
                  <c:v>减去累计折旧</c:v>
                </c:pt>
                <c:pt idx="11">
                  <c:v>固定资产总额</c:v>
                </c:pt>
                <c:pt idx="12">
                  <c:v>商誉</c:v>
                </c:pt>
                <c:pt idx="13">
                  <c:v>其他资产总额</c:v>
                </c:pt>
                <c:pt idx="14">
                  <c:v>应付帐款</c:v>
                </c:pt>
                <c:pt idx="15">
                  <c:v>应付工资</c:v>
                </c:pt>
                <c:pt idx="16">
                  <c:v>应付薪酬</c:v>
                </c:pt>
                <c:pt idx="17">
                  <c:v>应付所得税</c:v>
                </c:pt>
                <c:pt idx="18">
                  <c:v>预收收入</c:v>
                </c:pt>
                <c:pt idx="19">
                  <c:v>其他</c:v>
                </c:pt>
                <c:pt idx="20">
                  <c:v>流动负债总额</c:v>
                </c:pt>
                <c:pt idx="21">
                  <c:v>应付抵押款</c:v>
                </c:pt>
                <c:pt idx="22">
                  <c:v>长期负债总额</c:v>
                </c:pt>
                <c:pt idx="23">
                  <c:v>投资资本</c:v>
                </c:pt>
                <c:pt idx="24">
                  <c:v>累计留存收益</c:v>
                </c:pt>
                <c:pt idx="25">
                  <c:v>所有者权益总额</c:v>
                </c:pt>
              </c:strCache>
            </c:strRef>
          </c:cat>
          <c:val>
            <c:numRef>
              <c:f>(资产负债表!$C$6:$C$12,资产负债表!$C$15:$C$19,资产负债表!$C$22:$C$23,资产负债表!$C$29:$C$35,资产负债表!$C$38:$C$39,资产负债表!$C$42:$C$44)</c:f>
              <c:numCache>
                <c:formatCode>_ * #,##0.00_ ;_ * \-#,##0.00_ ;_ * "-"??_ ;_ @_ 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B2-2D4B-A1E4-8E7E40ABCCF3}"/>
            </c:ext>
          </c:extLst>
        </c:ser>
        <c:ser>
          <c:idx val="1"/>
          <c:order val="1"/>
          <c:invertIfNegative val="0"/>
          <c:cat>
            <c:strRef>
              <c:f>(资产负债表!$B$6:$B$12,资产负债表!$B$15:$B$19,资产负债表!$B$22:$B$23,资产负债表!$B$29:$B$35,资产负债表!$B$38:$B$39,资产负债表!$B$42:$B$44)</c:f>
              <c:strCache>
                <c:ptCount val="26"/>
                <c:pt idx="0">
                  <c:v>现金</c:v>
                </c:pt>
                <c:pt idx="1">
                  <c:v>投资</c:v>
                </c:pt>
                <c:pt idx="2">
                  <c:v>库存</c:v>
                </c:pt>
                <c:pt idx="3">
                  <c:v>应收帐款</c:v>
                </c:pt>
                <c:pt idx="4">
                  <c:v>预付费用</c:v>
                </c:pt>
                <c:pt idx="5">
                  <c:v>其他</c:v>
                </c:pt>
                <c:pt idx="6">
                  <c:v>流动资产总额</c:v>
                </c:pt>
                <c:pt idx="7">
                  <c:v>财产和设备</c:v>
                </c:pt>
                <c:pt idx="8">
                  <c:v>租赁权益改良</c:v>
                </c:pt>
                <c:pt idx="9">
                  <c:v>所有者权益及其他投资</c:v>
                </c:pt>
                <c:pt idx="10">
                  <c:v>减去累计折旧</c:v>
                </c:pt>
                <c:pt idx="11">
                  <c:v>固定资产总额</c:v>
                </c:pt>
                <c:pt idx="12">
                  <c:v>商誉</c:v>
                </c:pt>
                <c:pt idx="13">
                  <c:v>其他资产总额</c:v>
                </c:pt>
                <c:pt idx="14">
                  <c:v>应付帐款</c:v>
                </c:pt>
                <c:pt idx="15">
                  <c:v>应付工资</c:v>
                </c:pt>
                <c:pt idx="16">
                  <c:v>应付薪酬</c:v>
                </c:pt>
                <c:pt idx="17">
                  <c:v>应付所得税</c:v>
                </c:pt>
                <c:pt idx="18">
                  <c:v>预收收入</c:v>
                </c:pt>
                <c:pt idx="19">
                  <c:v>其他</c:v>
                </c:pt>
                <c:pt idx="20">
                  <c:v>流动负债总额</c:v>
                </c:pt>
                <c:pt idx="21">
                  <c:v>应付抵押款</c:v>
                </c:pt>
                <c:pt idx="22">
                  <c:v>长期负债总额</c:v>
                </c:pt>
                <c:pt idx="23">
                  <c:v>投资资本</c:v>
                </c:pt>
                <c:pt idx="24">
                  <c:v>累计留存收益</c:v>
                </c:pt>
                <c:pt idx="25">
                  <c:v>所有者权益总额</c:v>
                </c:pt>
              </c:strCache>
            </c:strRef>
          </c:cat>
          <c:val>
            <c:numRef>
              <c:f>(资产负债表!$D$6:$D$12,资产负债表!$D$15:$D$19,资产负债表!$D$22:$D$23,资产负债表!$D$29:$D$35,资产负债表!$D$38:$D$39,资产负债表!$D$42:$D$44)</c:f>
              <c:numCache>
                <c:formatCode>_ * #,##0.00_ ;_ * \-#,##0.00_ ;_ * "-"??_ ;_ @_ 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AB2-2D4B-A1E4-8E7E40ABCC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axId val="70048384"/>
        <c:axId val="70058368"/>
      </c:barChart>
      <c:catAx>
        <c:axId val="7004838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lt1"/>
                </a:solidFill>
                <a:latin typeface="Microsoft YaHei UI" panose="020B0503020204020204" pitchFamily="34" charset="-122"/>
                <a:ea typeface="Microsoft YaHei UI" panose="020B0503020204020204" pitchFamily="34" charset="-122"/>
                <a:cs typeface="+mn-cs"/>
              </a:defRPr>
            </a:pPr>
            <a:endParaRPr lang="zh-CN"/>
          </a:p>
        </c:txPr>
        <c:crossAx val="70058368"/>
        <c:crosses val="autoZero"/>
        <c:auto val="1"/>
        <c:lblAlgn val="ctr"/>
        <c:lblOffset val="100"/>
        <c:noMultiLvlLbl val="0"/>
      </c:catAx>
      <c:valAx>
        <c:axId val="70058368"/>
        <c:scaling>
          <c:orientation val="minMax"/>
        </c:scaling>
        <c:delete val="0"/>
        <c:axPos val="l"/>
        <c:majorGridlines/>
        <c:numFmt formatCode="_ * #,##0.00_ ;_ * \-#,##0.00_ ;_ * &quot;-&quot;??_ ;_ @_ 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lt1"/>
                </a:solidFill>
                <a:latin typeface="Microsoft YaHei UI" panose="020B0503020204020204" pitchFamily="34" charset="-122"/>
                <a:ea typeface="Microsoft YaHei UI" panose="020B0503020204020204" pitchFamily="34" charset="-122"/>
                <a:cs typeface="+mn-cs"/>
              </a:defRPr>
            </a:pPr>
            <a:endParaRPr lang="zh-CN"/>
          </a:p>
        </c:txPr>
        <c:crossAx val="70048384"/>
        <c:crosses val="autoZero"/>
        <c:crossBetween val="between"/>
      </c:valAx>
      <c:spPr>
        <a:solidFill>
          <a:schemeClr val="dk1">
            <a:tint val="95000"/>
          </a:schemeClr>
        </a:solidFill>
        <a:ln>
          <a:noFill/>
        </a:ln>
        <a:effectLst/>
      </c:spPr>
    </c:plotArea>
    <c:legend>
      <c:legendPos val="b"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lt1"/>
              </a:solidFill>
              <a:latin typeface="Microsoft YaHei UI" panose="020B0503020204020204" pitchFamily="34" charset="-122"/>
              <a:ea typeface="Microsoft YaHei UI" panose="020B0503020204020204" pitchFamily="34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txPr>
    <a:bodyPr/>
    <a:lstStyle/>
    <a:p>
      <a:pPr>
        <a:defRPr lang="zh-CN">
          <a:latin typeface="Microsoft YaHei UI" panose="020B0503020204020204" pitchFamily="34" charset="-122"/>
          <a:ea typeface="Microsoft YaHei UI" panose="020B0503020204020204" pitchFamily="3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sv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244940</xdr:rowOff>
    </xdr:from>
    <xdr:to>
      <xdr:col>1</xdr:col>
      <xdr:colOff>685800</xdr:colOff>
      <xdr:row>1</xdr:row>
      <xdr:rowOff>930740</xdr:rowOff>
    </xdr:to>
    <xdr:pic>
      <xdr:nvPicPr>
        <xdr:cNvPr id="4" name="图形 3" descr="金钱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04775" y="497205"/>
          <a:ext cx="685800" cy="685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208507</xdr:colOff>
      <xdr:row>26</xdr:row>
      <xdr:rowOff>94776</xdr:rowOff>
    </xdr:from>
    <xdr:ext cx="1340653" cy="2781111"/>
    <xdr:pic>
      <xdr:nvPicPr>
        <xdr:cNvPr id="2" name="图形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rcRect l="80839" t="61320" b="18606"/>
        <a:stretch>
          <a:fillRect/>
        </a:stretch>
      </xdr:blipFill>
      <xdr:spPr>
        <a:xfrm>
          <a:off x="5866130" y="8497570"/>
          <a:ext cx="1340485" cy="2780665"/>
        </a:xfrm>
        <a:prstGeom prst="rect">
          <a:avLst/>
        </a:prstGeom>
      </xdr:spPr>
    </xdr:pic>
    <xdr:clientData/>
  </xdr:oneCellAnchor>
  <xdr:oneCellAnchor>
    <xdr:from>
      <xdr:col>4</xdr:col>
      <xdr:colOff>311860</xdr:colOff>
      <xdr:row>0</xdr:row>
      <xdr:rowOff>13460</xdr:rowOff>
    </xdr:from>
    <xdr:ext cx="5163214" cy="1831214"/>
    <xdr:pic>
      <xdr:nvPicPr>
        <xdr:cNvPr id="3" name="图形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rcRect r="46371" b="90381"/>
        <a:stretch>
          <a:fillRect/>
        </a:stretch>
      </xdr:blipFill>
      <xdr:spPr>
        <a:xfrm>
          <a:off x="2035810" y="13335"/>
          <a:ext cx="5163185" cy="1830705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3</xdr:row>
      <xdr:rowOff>0</xdr:rowOff>
    </xdr:from>
    <xdr:to>
      <xdr:col>4</xdr:col>
      <xdr:colOff>253876</xdr:colOff>
      <xdr:row>4</xdr:row>
      <xdr:rowOff>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64275288-6736-0C15-64F3-EB029C270B53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19623" y="1150189"/>
          <a:ext cx="253876" cy="38339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13</xdr:col>
      <xdr:colOff>390525</xdr:colOff>
      <xdr:row>29</xdr:row>
      <xdr:rowOff>0</xdr:rowOff>
    </xdr:to>
    <xdr:graphicFrame macro="">
      <xdr:nvGraphicFramePr>
        <xdr:cNvPr id="2" name="图表 1" descr="显示上一年度和当前年度资产和负债的对比情况的三维簇状柱形图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0000000}" name="CashReceipts" displayName="CashReceipts" ref="B9:S15" headerRowCount="0" totalsRowCount="1">
  <tableColumns count="18">
    <tableColumn id="1" xr3:uid="{00000000-0010-0000-0000-000001000000}" name="Items" totalsRowLabel="总计" dataDxfId="359" totalsRowDxfId="358"/>
    <tableColumn id="17" xr3:uid="{00000000-0010-0000-0000-000011000000}" name="Column2" dataDxfId="357" totalsRowDxfId="356"/>
    <tableColumn id="2" xr3:uid="{00000000-0010-0000-0000-000002000000}" name="Period 0" dataDxfId="355" totalsRowDxfId="354"/>
    <tableColumn id="3" xr3:uid="{00000000-0010-0000-0000-000003000000}" name="Period 1" totalsRowFunction="sum" dataDxfId="353" totalsRowDxfId="352"/>
    <tableColumn id="4" xr3:uid="{00000000-0010-0000-0000-000004000000}" name="Period 2" totalsRowFunction="sum" dataDxfId="351" totalsRowDxfId="350"/>
    <tableColumn id="5" xr3:uid="{00000000-0010-0000-0000-000005000000}" name="Period 3" totalsRowFunction="sum" dataDxfId="349" totalsRowDxfId="348"/>
    <tableColumn id="6" xr3:uid="{00000000-0010-0000-0000-000006000000}" name="Period 4" totalsRowFunction="sum" dataDxfId="347" totalsRowDxfId="346"/>
    <tableColumn id="7" xr3:uid="{00000000-0010-0000-0000-000007000000}" name="Period 5" totalsRowFunction="sum" dataDxfId="345" totalsRowDxfId="344"/>
    <tableColumn id="8" xr3:uid="{00000000-0010-0000-0000-000008000000}" name="Period 6" totalsRowFunction="sum" dataDxfId="343" totalsRowDxfId="342"/>
    <tableColumn id="9" xr3:uid="{00000000-0010-0000-0000-000009000000}" name="Period 7" totalsRowFunction="sum" dataDxfId="341" totalsRowDxfId="340"/>
    <tableColumn id="10" xr3:uid="{00000000-0010-0000-0000-00000A000000}" name="Period 8" totalsRowFunction="sum" dataDxfId="339" totalsRowDxfId="338"/>
    <tableColumn id="11" xr3:uid="{00000000-0010-0000-0000-00000B000000}" name="Period 9" totalsRowFunction="sum" dataDxfId="337" totalsRowDxfId="336"/>
    <tableColumn id="12" xr3:uid="{00000000-0010-0000-0000-00000C000000}" name="Period 10" totalsRowFunction="sum" dataDxfId="335" totalsRowDxfId="334"/>
    <tableColumn id="13" xr3:uid="{00000000-0010-0000-0000-00000D000000}" name="Period 11" totalsRowFunction="sum" dataDxfId="333" totalsRowDxfId="332"/>
    <tableColumn id="14" xr3:uid="{00000000-0010-0000-0000-00000E000000}" name="Period 12" totalsRowFunction="sum" dataDxfId="331" totalsRowDxfId="330"/>
    <tableColumn id="18" xr3:uid="{00000000-0010-0000-0000-000012000000}" name="Column3" dataDxfId="329" totalsRowDxfId="328"/>
    <tableColumn id="15" xr3:uid="{00000000-0010-0000-0000-00000F000000}" name="Total" totalsRowFunction="sum" dataDxfId="327" totalsRowDxfId="326">
      <calculatedColumnFormula>SUM(CashReceipts[[#This Row],[Period 0]:[Period 12]])</calculatedColumnFormula>
    </tableColumn>
    <tableColumn id="16" xr3:uid="{00000000-0010-0000-0000-000010000000}" name="Column1" dataDxfId="325" totalsRowDxfId="324"/>
  </tableColumns>
  <tableStyleInfo name="Cash Receipts" showFirstColumn="1" showLastColumn="1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1000000}" name="CashPaidOut" displayName="CashPaidOut" ref="B27:S48" headerRowCount="0" totalsRowCount="1">
  <sortState xmlns:xlrd2="http://schemas.microsoft.com/office/spreadsheetml/2017/richdata2" ref="B27:S47">
    <sortCondition descending="1" ref="D27:D47"/>
  </sortState>
  <tableColumns count="18">
    <tableColumn id="1" xr3:uid="{00000000-0010-0000-0100-000001000000}" name="Items" totalsRowLabel="总计" dataDxfId="323" totalsRowDxfId="322"/>
    <tableColumn id="17" xr3:uid="{00000000-0010-0000-0100-000011000000}" name="Column2" dataDxfId="321" totalsRowDxfId="320"/>
    <tableColumn id="2" xr3:uid="{00000000-0010-0000-0100-000002000000}" name="Period 0" totalsRowFunction="sum" dataDxfId="319" totalsRowDxfId="318"/>
    <tableColumn id="3" xr3:uid="{00000000-0010-0000-0100-000003000000}" name="Period 1" totalsRowFunction="sum" dataDxfId="317" totalsRowDxfId="316"/>
    <tableColumn id="4" xr3:uid="{00000000-0010-0000-0100-000004000000}" name="Period 2" totalsRowFunction="sum" dataDxfId="315" totalsRowDxfId="314"/>
    <tableColumn id="5" xr3:uid="{00000000-0010-0000-0100-000005000000}" name="Period 3" totalsRowFunction="sum" dataDxfId="313" totalsRowDxfId="312"/>
    <tableColumn id="6" xr3:uid="{00000000-0010-0000-0100-000006000000}" name="Period 4" totalsRowFunction="sum" dataDxfId="311" totalsRowDxfId="310"/>
    <tableColumn id="7" xr3:uid="{00000000-0010-0000-0100-000007000000}" name="Period 5" totalsRowFunction="sum" dataDxfId="309" totalsRowDxfId="308"/>
    <tableColumn id="8" xr3:uid="{00000000-0010-0000-0100-000008000000}" name="Period 6" totalsRowFunction="sum" dataDxfId="307" totalsRowDxfId="306"/>
    <tableColumn id="9" xr3:uid="{00000000-0010-0000-0100-000009000000}" name="Period 7" totalsRowFunction="sum" dataDxfId="305" totalsRowDxfId="304"/>
    <tableColumn id="10" xr3:uid="{00000000-0010-0000-0100-00000A000000}" name="Period 8" totalsRowFunction="sum" dataDxfId="303" totalsRowDxfId="302"/>
    <tableColumn id="11" xr3:uid="{00000000-0010-0000-0100-00000B000000}" name="Period 9" totalsRowFunction="sum" dataDxfId="301" totalsRowDxfId="300"/>
    <tableColumn id="12" xr3:uid="{00000000-0010-0000-0100-00000C000000}" name="Period 10" totalsRowFunction="sum" dataDxfId="299" totalsRowDxfId="298"/>
    <tableColumn id="13" xr3:uid="{00000000-0010-0000-0100-00000D000000}" name="Period 11" totalsRowFunction="sum" dataDxfId="297" totalsRowDxfId="296"/>
    <tableColumn id="14" xr3:uid="{00000000-0010-0000-0100-00000E000000}" name="Period 12" totalsRowFunction="sum" dataDxfId="295" totalsRowDxfId="294"/>
    <tableColumn id="18" xr3:uid="{00000000-0010-0000-0100-000012000000}" name="Column3" dataDxfId="293" totalsRowDxfId="292"/>
    <tableColumn id="15" xr3:uid="{00000000-0010-0000-0100-00000F000000}" name="Total" totalsRowFunction="sum" dataDxfId="291" totalsRowDxfId="290">
      <calculatedColumnFormula>SUM(CashPaidOut[[#This Row],[Period 0]:[Period 12]])</calculatedColumnFormula>
    </tableColumn>
    <tableColumn id="16" xr3:uid="{00000000-0010-0000-0100-000010000000}" name="Column1" dataDxfId="289" totalsRowDxfId="288"/>
  </tableColumns>
  <tableStyleInfo name="Cash Receipts" showFirstColumn="1" showLastColumn="1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2000000}" name="CashPaidOut2" displayName="CashPaidOut2" ref="B51:S56" headerRowCount="0" totalsRowCount="1">
  <tableColumns count="18">
    <tableColumn id="1" xr3:uid="{00000000-0010-0000-0200-000001000000}" name="Items" totalsRowLabel="总计" dataDxfId="287" totalsRowDxfId="286" totalsRowCellStyle="常规 2"/>
    <tableColumn id="17" xr3:uid="{00000000-0010-0000-0200-000011000000}" name="Column2" dataDxfId="285" totalsRowDxfId="284" totalsRowCellStyle="常规 2"/>
    <tableColumn id="2" xr3:uid="{00000000-0010-0000-0200-000002000000}" name="Period 0" totalsRowFunction="sum" dataDxfId="283" totalsRowDxfId="282" totalsRowCellStyle="常规 2"/>
    <tableColumn id="3" xr3:uid="{00000000-0010-0000-0200-000003000000}" name="Period 1" totalsRowFunction="sum" dataDxfId="281" totalsRowDxfId="280" totalsRowCellStyle="常规 2"/>
    <tableColumn id="4" xr3:uid="{00000000-0010-0000-0200-000004000000}" name="Period 2" totalsRowFunction="sum" dataDxfId="279" totalsRowDxfId="278" totalsRowCellStyle="常规 2"/>
    <tableColumn id="5" xr3:uid="{00000000-0010-0000-0200-000005000000}" name="Period 3" totalsRowFunction="sum" dataDxfId="277" totalsRowDxfId="276" totalsRowCellStyle="常规 2"/>
    <tableColumn id="6" xr3:uid="{00000000-0010-0000-0200-000006000000}" name="Period 4" totalsRowFunction="sum" dataDxfId="275" totalsRowDxfId="274" totalsRowCellStyle="常规 2"/>
    <tableColumn id="7" xr3:uid="{00000000-0010-0000-0200-000007000000}" name="Period 5" totalsRowFunction="sum" dataDxfId="273" totalsRowDxfId="272" totalsRowCellStyle="常规 2"/>
    <tableColumn id="8" xr3:uid="{00000000-0010-0000-0200-000008000000}" name="Period 6" totalsRowFunction="sum" dataDxfId="271" totalsRowDxfId="270" totalsRowCellStyle="常规 2"/>
    <tableColumn id="9" xr3:uid="{00000000-0010-0000-0200-000009000000}" name="Period 7" totalsRowFunction="sum" dataDxfId="269" totalsRowDxfId="268" totalsRowCellStyle="常规 2"/>
    <tableColumn id="10" xr3:uid="{00000000-0010-0000-0200-00000A000000}" name="Period 8" totalsRowFunction="sum" dataDxfId="267" totalsRowDxfId="266" totalsRowCellStyle="常规 2"/>
    <tableColumn id="11" xr3:uid="{00000000-0010-0000-0200-00000B000000}" name="Period 9" totalsRowFunction="sum" dataDxfId="265" totalsRowDxfId="264" totalsRowCellStyle="常规 2"/>
    <tableColumn id="12" xr3:uid="{00000000-0010-0000-0200-00000C000000}" name="Period 10" totalsRowFunction="sum" dataDxfId="263" totalsRowDxfId="262" totalsRowCellStyle="常规 2"/>
    <tableColumn id="13" xr3:uid="{00000000-0010-0000-0200-00000D000000}" name="Period 11" totalsRowFunction="sum" dataDxfId="261" totalsRowDxfId="260" totalsRowCellStyle="常规 2"/>
    <tableColumn id="14" xr3:uid="{00000000-0010-0000-0200-00000E000000}" name="Period 12" totalsRowFunction="sum" dataDxfId="259" totalsRowDxfId="258" totalsRowCellStyle="常规 2"/>
    <tableColumn id="18" xr3:uid="{00000000-0010-0000-0200-000012000000}" name="Column3" dataDxfId="257" totalsRowDxfId="256" totalsRowCellStyle="常规 2"/>
    <tableColumn id="15" xr3:uid="{00000000-0010-0000-0200-00000F000000}" name="Total" totalsRowFunction="sum" dataDxfId="255" totalsRowDxfId="254" totalsRowCellStyle="常规 2">
      <calculatedColumnFormula>SUM(CashPaidOut2[[#This Row],[Period 0]:[Period 12]])</calculatedColumnFormula>
    </tableColumn>
    <tableColumn id="16" xr3:uid="{00000000-0010-0000-0200-000010000000}" name="Column1" dataDxfId="253" totalsRowDxfId="252" totalsRowCellStyle="常规 2"/>
  </tableColumns>
  <tableStyleInfo name="Cash Receipts" showFirstColumn="1" showLastColumn="1" showRowStripes="0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3000000}" name="CashPaidOut26" displayName="CashPaidOut26" ref="B59:S64" headerRowCount="0" totalsRowCount="1">
  <tableColumns count="18">
    <tableColumn id="1" xr3:uid="{00000000-0010-0000-0300-000001000000}" name="Items" totalsRowLabel="总计" dataDxfId="251"/>
    <tableColumn id="17" xr3:uid="{00000000-0010-0000-0300-000011000000}" name="Column2" dataDxfId="250"/>
    <tableColumn id="2" xr3:uid="{00000000-0010-0000-0300-000002000000}" name="Period 0" totalsRowFunction="sum" dataDxfId="249"/>
    <tableColumn id="3" xr3:uid="{00000000-0010-0000-0300-000003000000}" name="Period 1" totalsRowFunction="sum" dataDxfId="248"/>
    <tableColumn id="4" xr3:uid="{00000000-0010-0000-0300-000004000000}" name="Period 2" totalsRowFunction="sum" dataDxfId="247"/>
    <tableColumn id="5" xr3:uid="{00000000-0010-0000-0300-000005000000}" name="Period 3" totalsRowFunction="sum" dataDxfId="246"/>
    <tableColumn id="6" xr3:uid="{00000000-0010-0000-0300-000006000000}" name="Period 4" totalsRowFunction="sum" dataDxfId="245"/>
    <tableColumn id="7" xr3:uid="{00000000-0010-0000-0300-000007000000}" name="Period 5" totalsRowFunction="sum" dataDxfId="244"/>
    <tableColumn id="8" xr3:uid="{00000000-0010-0000-0300-000008000000}" name="Period 6" totalsRowFunction="sum" dataDxfId="243"/>
    <tableColumn id="9" xr3:uid="{00000000-0010-0000-0300-000009000000}" name="Period 7" totalsRowFunction="sum" dataDxfId="242"/>
    <tableColumn id="10" xr3:uid="{00000000-0010-0000-0300-00000A000000}" name="Period 8" totalsRowFunction="sum" dataDxfId="241"/>
    <tableColumn id="11" xr3:uid="{00000000-0010-0000-0300-00000B000000}" name="Period 9" totalsRowFunction="sum" dataDxfId="240"/>
    <tableColumn id="12" xr3:uid="{00000000-0010-0000-0300-00000C000000}" name="Period 10" totalsRowFunction="sum" dataDxfId="239"/>
    <tableColumn id="13" xr3:uid="{00000000-0010-0000-0300-00000D000000}" name="Period 11" totalsRowFunction="sum" dataDxfId="238"/>
    <tableColumn id="14" xr3:uid="{00000000-0010-0000-0300-00000E000000}" name="Period 12" totalsRowFunction="sum" dataDxfId="237"/>
    <tableColumn id="18" xr3:uid="{00000000-0010-0000-0300-000012000000}" name="Column3" dataDxfId="236"/>
    <tableColumn id="15" xr3:uid="{00000000-0010-0000-0300-00000F000000}" name="Total" totalsRowFunction="sum" dataDxfId="235">
      <calculatedColumnFormula>SUM(CashPaidOut26[[#This Row],[Period 0]:[Period 12]])</calculatedColumnFormula>
    </tableColumn>
    <tableColumn id="16" xr3:uid="{00000000-0010-0000-0300-000010000000}" name="Column1" dataDxfId="234"/>
  </tableColumns>
  <tableStyleInfo name="Cash Receipts" showFirstColumn="1" showLastColumn="1" showRowStripes="0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04000000}" name="CashPaidOut218" displayName="CashPaidOut218" ref="B19:S24" headerRowCount="0" totalsRowCount="1">
  <tableColumns count="18">
    <tableColumn id="1" xr3:uid="{00000000-0010-0000-0400-000001000000}" name="Items" totalsRowLabel="总计" dataDxfId="233" totalsRowDxfId="232"/>
    <tableColumn id="17" xr3:uid="{00000000-0010-0000-0400-000011000000}" name="Column2" dataDxfId="231" totalsRowDxfId="230"/>
    <tableColumn id="2" xr3:uid="{00000000-0010-0000-0400-000002000000}" name="Period 0" totalsRowFunction="sum" dataDxfId="229" totalsRowDxfId="228"/>
    <tableColumn id="3" xr3:uid="{00000000-0010-0000-0400-000003000000}" name="Period 1" totalsRowFunction="sum" dataDxfId="227" totalsRowDxfId="226"/>
    <tableColumn id="4" xr3:uid="{00000000-0010-0000-0400-000004000000}" name="Period 2" totalsRowFunction="sum" dataDxfId="225" totalsRowDxfId="224"/>
    <tableColumn id="5" xr3:uid="{00000000-0010-0000-0400-000005000000}" name="Period 3" totalsRowFunction="sum" dataDxfId="223" totalsRowDxfId="222"/>
    <tableColumn id="6" xr3:uid="{00000000-0010-0000-0400-000006000000}" name="Period 4" totalsRowFunction="sum" dataDxfId="221" totalsRowDxfId="220"/>
    <tableColumn id="7" xr3:uid="{00000000-0010-0000-0400-000007000000}" name="Period 5" totalsRowFunction="sum" dataDxfId="219" totalsRowDxfId="218"/>
    <tableColumn id="8" xr3:uid="{00000000-0010-0000-0400-000008000000}" name="Period 6" totalsRowFunction="sum" dataDxfId="217" totalsRowDxfId="216"/>
    <tableColumn id="9" xr3:uid="{00000000-0010-0000-0400-000009000000}" name="Period 7" totalsRowFunction="sum" dataDxfId="215" totalsRowDxfId="214"/>
    <tableColumn id="10" xr3:uid="{00000000-0010-0000-0400-00000A000000}" name="Period 8" totalsRowFunction="sum" dataDxfId="213" totalsRowDxfId="212"/>
    <tableColumn id="11" xr3:uid="{00000000-0010-0000-0400-00000B000000}" name="Period 9" totalsRowFunction="sum" dataDxfId="211" totalsRowDxfId="210"/>
    <tableColumn id="12" xr3:uid="{00000000-0010-0000-0400-00000C000000}" name="Period 10" totalsRowFunction="sum" dataDxfId="209" totalsRowDxfId="208"/>
    <tableColumn id="13" xr3:uid="{00000000-0010-0000-0400-00000D000000}" name="Period 11" totalsRowFunction="sum" dataDxfId="207" totalsRowDxfId="206"/>
    <tableColumn id="14" xr3:uid="{00000000-0010-0000-0400-00000E000000}" name="Period 12" totalsRowFunction="sum" dataDxfId="205" totalsRowDxfId="204"/>
    <tableColumn id="18" xr3:uid="{00000000-0010-0000-0400-000012000000}" name="Column3" dataDxfId="203" totalsRowDxfId="202"/>
    <tableColumn id="15" xr3:uid="{00000000-0010-0000-0400-00000F000000}" name="Total" totalsRowFunction="sum" dataDxfId="201" totalsRowDxfId="200">
      <calculatedColumnFormula>SUM(CashPaidOut218[[#This Row],[Period 0]:[Period 12]])</calculatedColumnFormula>
    </tableColumn>
    <tableColumn id="16" xr3:uid="{00000000-0010-0000-0400-000010000000}" name="Column1" dataDxfId="199" totalsRowDxfId="198"/>
  </tableColumns>
  <tableStyleInfo name="Cash Receipts" showFirstColumn="1" showLastColumn="1" showRowStripes="0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5000000}" name="住房" displayName="住房" ref="B15:E26" totalsRowCount="1">
  <tableColumns count="4">
    <tableColumn id="1" xr3:uid="{00000000-0010-0000-0500-000001000000}" name="0" totalsRowLabel="小计" dataDxfId="197"/>
    <tableColumn id="2" xr3:uid="{00000000-0010-0000-0500-000002000000}" name="预计_x000a_费用" dataDxfId="196"/>
    <tableColumn id="3" xr3:uid="{00000000-0010-0000-0500-000003000000}" name="实际_x000a_费用" dataDxfId="195"/>
    <tableColumn id="4" xr3:uid="{00000000-0010-0000-0500-000004000000}" name="差额" totalsRowFunction="sum" dataDxfId="194">
      <calculatedColumnFormula>住房[[#This Row],[预计
费用]]-住房[[#This Row],[实际
费用]]</calculatedColumnFormula>
    </tableColumn>
  </tableColumns>
  <tableStyleInfo name="通讯簿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6000000}" name="娱乐" displayName="娱乐" ref="G15:J25" totalsRowCount="1">
  <tableColumns count="4">
    <tableColumn id="1" xr3:uid="{00000000-0010-0000-0600-000001000000}" name="0" totalsRowLabel="小计" dataDxfId="193"/>
    <tableColumn id="2" xr3:uid="{00000000-0010-0000-0600-000002000000}" name="预计_x000a_费用" dataDxfId="192"/>
    <tableColumn id="3" xr3:uid="{00000000-0010-0000-0600-000003000000}" name="实际_x000a_费用" dataDxfId="191"/>
    <tableColumn id="4" xr3:uid="{00000000-0010-0000-0600-000004000000}" name="差额" totalsRowFunction="sum" dataDxfId="190">
      <calculatedColumnFormula>娱乐[[#This Row],[预计
费用]]-娱乐[[#This Row],[实际
费用]]</calculatedColumnFormula>
    </tableColumn>
  </tableColumns>
  <tableStyleInfo name="通讯簿" showFirstColumn="1" showLastColumn="1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7000000}" name="贷款" displayName="贷款" ref="G29:J36" totalsRowCount="1">
  <tableColumns count="4">
    <tableColumn id="1" xr3:uid="{00000000-0010-0000-0700-000001000000}" name="0" totalsRowLabel="小计" dataDxfId="189"/>
    <tableColumn id="2" xr3:uid="{00000000-0010-0000-0700-000002000000}" name="预计_x000a_费用" dataDxfId="188"/>
    <tableColumn id="3" xr3:uid="{00000000-0010-0000-0700-000003000000}" name="实际_x000a_费用" dataDxfId="187"/>
    <tableColumn id="4" xr3:uid="{00000000-0010-0000-0700-000004000000}" name="差额" totalsRowFunction="sum" dataDxfId="186">
      <calculatedColumnFormula>贷款[[#This Row],[预计
费用]]-贷款[[#This Row],[实际
费用]]</calculatedColumnFormula>
    </tableColumn>
  </tableColumns>
  <tableStyleInfo name="通讯簿" showFirstColumn="0" showLastColumn="0" showRowStripes="0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8000000}" name="交通" displayName="交通" ref="B29:E37" totalsRowCount="1">
  <tableColumns count="4">
    <tableColumn id="1" xr3:uid="{00000000-0010-0000-0800-000001000000}" name="0" totalsRowLabel="小计" dataDxfId="185"/>
    <tableColumn id="2" xr3:uid="{00000000-0010-0000-0800-000002000000}" name="预计_x000a_费用" dataDxfId="184"/>
    <tableColumn id="3" xr3:uid="{00000000-0010-0000-0800-000003000000}" name="实际_x000a_费用" dataDxfId="183"/>
    <tableColumn id="4" xr3:uid="{00000000-0010-0000-0800-000004000000}" name="差额" totalsRowFunction="sum" dataDxfId="182">
      <calculatedColumnFormula>交通[[#This Row],[预计
费用]]-交通[[#This Row],[实际
费用]]</calculatedColumnFormula>
    </tableColumn>
  </tableColumns>
  <tableStyleInfo name="通讯簿" showFirstColumn="1" showLastColumn="1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9000000}" name="保险" displayName="保险" ref="B40:E45" totalsRowCount="1">
  <tableColumns count="4">
    <tableColumn id="1" xr3:uid="{00000000-0010-0000-0900-000001000000}" name="0" totalsRowLabel="小计" dataDxfId="181"/>
    <tableColumn id="2" xr3:uid="{00000000-0010-0000-0900-000002000000}" name="预计_x000a_费用" dataDxfId="180"/>
    <tableColumn id="3" xr3:uid="{00000000-0010-0000-0900-000003000000}" name="实际_x000a_费用" dataDxfId="179"/>
    <tableColumn id="4" xr3:uid="{00000000-0010-0000-0900-000004000000}" name="差额" totalsRowFunction="sum" dataDxfId="178">
      <calculatedColumnFormula>保险[[#This Row],[预计
费用]]-保险[[#This Row],[实际
费用]]</calculatedColumnFormula>
    </tableColumn>
  </tableColumns>
  <tableStyleInfo name="通讯簿" showFirstColumn="1" showLastColumn="1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A000000}" name="税款" displayName="税款" ref="G40:J45" totalsRowCount="1">
  <tableColumns count="4">
    <tableColumn id="1" xr3:uid="{00000000-0010-0000-0A00-000001000000}" name="0" totalsRowLabel="小计" dataDxfId="177"/>
    <tableColumn id="2" xr3:uid="{00000000-0010-0000-0A00-000002000000}" name="预计_x000a_费用" dataDxfId="176"/>
    <tableColumn id="3" xr3:uid="{00000000-0010-0000-0A00-000003000000}" name="实际_x000a_费用" dataDxfId="175"/>
    <tableColumn id="4" xr3:uid="{00000000-0010-0000-0A00-000004000000}" name="差额" totalsRowFunction="sum" dataDxfId="174">
      <calculatedColumnFormula>税款[[#This Row],[预计
费用]]-税款[[#This Row],[实际
费用]]</calculatedColumnFormula>
    </tableColumn>
  </tableColumns>
  <tableStyleInfo name="通讯簿" showFirstColumn="1" showLastColumn="1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B000000}" name="存款" displayName="存款" ref="G48:J52" totalsRowCount="1">
  <tableColumns count="4">
    <tableColumn id="1" xr3:uid="{00000000-0010-0000-0B00-000001000000}" name="0" totalsRowLabel="小计" dataDxfId="173"/>
    <tableColumn id="2" xr3:uid="{00000000-0010-0000-0B00-000002000000}" name="预计_x000a_费用" dataDxfId="172"/>
    <tableColumn id="3" xr3:uid="{00000000-0010-0000-0B00-000003000000}" name="实际_x000a_费用" dataDxfId="171"/>
    <tableColumn id="4" xr3:uid="{00000000-0010-0000-0B00-000004000000}" name="差额" totalsRowFunction="sum" dataDxfId="170">
      <calculatedColumnFormula>存款[[#This Row],[预计
费用]]-存款[[#This Row],[实际
费用]]</calculatedColumnFormula>
    </tableColumn>
  </tableColumns>
  <tableStyleInfo name="通讯簿" showFirstColumn="1" showLastColumn="1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C000000}" name="食品" displayName="食品" ref="B48:E52" totalsRowCount="1">
  <tableColumns count="4">
    <tableColumn id="1" xr3:uid="{00000000-0010-0000-0C00-000001000000}" name="0" totalsRowLabel="小计" dataDxfId="169"/>
    <tableColumn id="2" xr3:uid="{00000000-0010-0000-0C00-000002000000}" name="预计_x000a_费用" dataDxfId="168"/>
    <tableColumn id="3" xr3:uid="{00000000-0010-0000-0C00-000003000000}" name="实际_x000a_费用" dataDxfId="167"/>
    <tableColumn id="4" xr3:uid="{00000000-0010-0000-0C00-000004000000}" name="差额" totalsRowFunction="sum" dataDxfId="166">
      <calculatedColumnFormula>食品[[#This Row],[预计
费用]]-食品[[#This Row],[实际
费用]]</calculatedColumnFormula>
    </tableColumn>
  </tableColumns>
  <tableStyleInfo name="通讯簿" showFirstColumn="1" showLastColumn="1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D000000}" name="礼品" displayName="礼品" ref="G55:J59" totalsRowCount="1">
  <tableColumns count="4">
    <tableColumn id="1" xr3:uid="{00000000-0010-0000-0D00-000001000000}" name="0" totalsRowLabel="小计" dataDxfId="165"/>
    <tableColumn id="2" xr3:uid="{00000000-0010-0000-0D00-000002000000}" name="预计_x000a_费用" dataDxfId="164"/>
    <tableColumn id="3" xr3:uid="{00000000-0010-0000-0D00-000003000000}" name="实际_x000a_费用" dataDxfId="163"/>
    <tableColumn id="4" xr3:uid="{00000000-0010-0000-0D00-000004000000}" name="差额" totalsRowFunction="sum" dataDxfId="162">
      <calculatedColumnFormula>礼品[[#This Row],[预计
费用]]-礼品[[#This Row],[实际
费用]]</calculatedColumnFormula>
    </tableColumn>
  </tableColumns>
  <tableStyleInfo name="通讯簿" showFirstColumn="1" showLastColumn="1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E000000}" name="宠物" displayName="宠物" ref="B55:E61" totalsRowCount="1">
  <tableColumns count="4">
    <tableColumn id="1" xr3:uid="{00000000-0010-0000-0E00-000001000000}" name="0" totalsRowLabel="小计" dataDxfId="161"/>
    <tableColumn id="2" xr3:uid="{00000000-0010-0000-0E00-000002000000}" name="预计_x000a_费用" dataDxfId="160"/>
    <tableColumn id="3" xr3:uid="{00000000-0010-0000-0E00-000003000000}" name="实际_x000a_费用" dataDxfId="159"/>
    <tableColumn id="4" xr3:uid="{00000000-0010-0000-0E00-000004000000}" name="差额" totalsRowFunction="sum" dataDxfId="158">
      <calculatedColumnFormula>宠物[[#This Row],[预计
费用]]-宠物[[#This Row],[实际
费用]]</calculatedColumnFormula>
    </tableColumn>
  </tableColumns>
  <tableStyleInfo name="通讯簿" showFirstColumn="1" showLastColumn="1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F000000}" name="法务" displayName="法务" ref="G64:J69" totalsRowCount="1">
  <tableColumns count="4">
    <tableColumn id="1" xr3:uid="{00000000-0010-0000-0F00-000001000000}" name="法务" totalsRowLabel="小计" dataDxfId="157"/>
    <tableColumn id="2" xr3:uid="{00000000-0010-0000-0F00-000002000000}" name="预计_x000a_费用" dataDxfId="156"/>
    <tableColumn id="3" xr3:uid="{00000000-0010-0000-0F00-000003000000}" name="实际_x000a_费用" dataDxfId="155"/>
    <tableColumn id="4" xr3:uid="{00000000-0010-0000-0F00-000004000000}" name="差额" totalsRowFunction="sum" dataDxfId="154">
      <calculatedColumnFormula>法务[[#This Row],[预计
费用]]-法务[[#This Row],[实际
费用]]</calculatedColumnFormula>
    </tableColumn>
  </tableColumns>
  <tableStyleInfo name="通讯簿" showFirstColumn="1" showLastColumn="1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10000000}" name="个人护理" displayName="个人护理" ref="B64:E72" totalsRowCount="1">
  <tableColumns count="4">
    <tableColumn id="1" xr3:uid="{00000000-0010-0000-1000-000001000000}" name="0" totalsRowLabel="小计" dataDxfId="153"/>
    <tableColumn id="2" xr3:uid="{00000000-0010-0000-1000-000002000000}" name="预计_x000a_费用" dataDxfId="152"/>
    <tableColumn id="3" xr3:uid="{00000000-0010-0000-1000-000003000000}" name="实际_x000a_费用" dataDxfId="151"/>
    <tableColumn id="4" xr3:uid="{00000000-0010-0000-1000-000004000000}" name="差额" totalsRowFunction="sum" dataDxfId="150">
      <calculatedColumnFormula>个人护理[[#This Row],[预计
费用]]-个人护理[[#This Row],[实际
费用]]</calculatedColumnFormula>
    </tableColumn>
  </tableColumns>
  <tableStyleInfo name="通讯簿" showFirstColumn="1" showLastColumn="1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11000000}" name="收入" displayName="收入" ref="B6:AD14" totalsRowCount="1">
  <autoFilter ref="B6:AD13" xr:uid="{00000000-0009-0000-0100-000018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</autoFilter>
  <tableColumns count="29">
    <tableColumn id="1" xr3:uid="{00000000-0010-0000-1100-000001000000}" name="收入" totalsRowLabel="总销售额" dataDxfId="149"/>
    <tableColumn id="29" xr3:uid="{00000000-0010-0000-1100-00001D000000}" name="趋势" dataDxfId="148"/>
    <tableColumn id="2" xr3:uid="{00000000-0010-0000-1100-000002000000}" name="1 月" totalsRowFunction="sum" dataDxfId="147"/>
    <tableColumn id="3" xr3:uid="{00000000-0010-0000-1100-000003000000}" name="2 月" totalsRowFunction="sum" dataDxfId="146"/>
    <tableColumn id="4" xr3:uid="{00000000-0010-0000-1100-000004000000}" name="3 月" totalsRowFunction="sum" dataDxfId="145"/>
    <tableColumn id="5" xr3:uid="{00000000-0010-0000-1100-000005000000}" name="4 月" totalsRowFunction="sum" dataDxfId="144"/>
    <tableColumn id="6" xr3:uid="{00000000-0010-0000-1100-000006000000}" name="5 月" totalsRowFunction="sum" dataDxfId="143"/>
    <tableColumn id="7" xr3:uid="{00000000-0010-0000-1100-000007000000}" name="6 月" totalsRowFunction="sum" dataDxfId="142"/>
    <tableColumn id="8" xr3:uid="{00000000-0010-0000-1100-000008000000}" name="7 月" totalsRowFunction="sum" dataDxfId="141"/>
    <tableColumn id="9" xr3:uid="{00000000-0010-0000-1100-000009000000}" name="8 月" totalsRowFunction="sum" dataDxfId="140"/>
    <tableColumn id="10" xr3:uid="{00000000-0010-0000-1100-00000A000000}" name="9 月" totalsRowFunction="sum" dataDxfId="139"/>
    <tableColumn id="11" xr3:uid="{00000000-0010-0000-1100-00000B000000}" name="10 月" totalsRowFunction="sum" dataDxfId="138"/>
    <tableColumn id="12" xr3:uid="{00000000-0010-0000-1100-00000C000000}" name="11 月" totalsRowFunction="sum" dataDxfId="137"/>
    <tableColumn id="13" xr3:uid="{00000000-0010-0000-1100-00000D000000}" name="12 月" totalsRowFunction="sum" dataDxfId="136"/>
    <tableColumn id="14" xr3:uid="{00000000-0010-0000-1100-00000E000000}" name="年度" totalsRowFunction="sum" dataDxfId="135">
      <calculatedColumnFormula>SUM(收入[[#This Row],[1 月]:[12 月]])</calculatedColumnFormula>
    </tableColumn>
    <tableColumn id="15" xr3:uid="{00000000-0010-0000-1100-00000F000000}" name="行业百分比" totalsRowFunction="sum" dataDxfId="134"/>
    <tableColumn id="16" xr3:uid="{00000000-0010-0000-1100-000010000000}" name="1 月 %" totalsRowFunction="sum" dataDxfId="133">
      <calculatedColumnFormula>IFERROR(收入[[#This Row],[1 月]]/收入[[#Totals],[1 月]],"-")</calculatedColumnFormula>
    </tableColumn>
    <tableColumn id="17" xr3:uid="{00000000-0010-0000-1100-000011000000}" name="2 月 %" totalsRowFunction="sum" dataDxfId="132">
      <calculatedColumnFormula>IFERROR(收入[[#This Row],[2 月]]/收入[[#Totals],[2 月]],"-")</calculatedColumnFormula>
    </tableColumn>
    <tableColumn id="18" xr3:uid="{00000000-0010-0000-1100-000012000000}" name="3 月 %" totalsRowFunction="sum" dataDxfId="131">
      <calculatedColumnFormula>IFERROR(收入[[#This Row],[3 月]]/收入[[#Totals],[3 月]],"-")</calculatedColumnFormula>
    </tableColumn>
    <tableColumn id="19" xr3:uid="{00000000-0010-0000-1100-000013000000}" name="4 月 %" totalsRowFunction="sum" dataDxfId="130">
      <calculatedColumnFormula>IFERROR(收入[[#This Row],[4 月]]/收入[[#Totals],[4 月]],"-")</calculatedColumnFormula>
    </tableColumn>
    <tableColumn id="20" xr3:uid="{00000000-0010-0000-1100-000014000000}" name="5 月 %" totalsRowFunction="sum" dataDxfId="129">
      <calculatedColumnFormula>IFERROR(收入[[#This Row],[5 月]]/收入[[#Totals],[5 月]],"-")</calculatedColumnFormula>
    </tableColumn>
    <tableColumn id="21" xr3:uid="{00000000-0010-0000-1100-000015000000}" name="6 月 %" totalsRowFunction="sum" dataDxfId="128">
      <calculatedColumnFormula>IFERROR(收入[[#This Row],[6 月]]/收入[[#Totals],[6 月]],"-")</calculatedColumnFormula>
    </tableColumn>
    <tableColumn id="22" xr3:uid="{00000000-0010-0000-1100-000016000000}" name="7 月 %" totalsRowFunction="sum" dataDxfId="127">
      <calculatedColumnFormula>IFERROR(收入[[#This Row],[7 月]]/收入[[#Totals],[7 月]],"-")</calculatedColumnFormula>
    </tableColumn>
    <tableColumn id="23" xr3:uid="{00000000-0010-0000-1100-000017000000}" name="8 月 %" totalsRowFunction="sum" dataDxfId="126">
      <calculatedColumnFormula>IFERROR(收入[[#This Row],[8 月]]/收入[[#Totals],[8 月]],"-")</calculatedColumnFormula>
    </tableColumn>
    <tableColumn id="24" xr3:uid="{00000000-0010-0000-1100-000018000000}" name="9 月 %" totalsRowFunction="sum" dataDxfId="125">
      <calculatedColumnFormula>IFERROR(收入[[#This Row],[9 月]]/收入[[#Totals],[9 月]],"-")</calculatedColumnFormula>
    </tableColumn>
    <tableColumn id="25" xr3:uid="{00000000-0010-0000-1100-000019000000}" name="10 月 %" totalsRowFunction="sum" dataDxfId="124">
      <calculatedColumnFormula>IFERROR(收入[[#This Row],[10 月]]/收入[[#Totals],[10 月]],"-")</calculatedColumnFormula>
    </tableColumn>
    <tableColumn id="26" xr3:uid="{00000000-0010-0000-1100-00001A000000}" name="11 月 %" totalsRowFunction="sum" dataDxfId="123">
      <calculatedColumnFormula>IFERROR(收入[[#This Row],[11 月]]/收入[[#Totals],[11 月]],"-")</calculatedColumnFormula>
    </tableColumn>
    <tableColumn id="27" xr3:uid="{00000000-0010-0000-1100-00001B000000}" name="12 月 %" totalsRowFunction="sum" dataDxfId="122">
      <calculatedColumnFormula>IFERROR(收入[[#This Row],[12 月]]/收入[[#Totals],[12 月]],"-")</calculatedColumnFormula>
    </tableColumn>
    <tableColumn id="28" xr3:uid="{00000000-0010-0000-1100-00001C000000}" name="年度 %" totalsRowFunction="sum" dataDxfId="121">
      <calculatedColumnFormula>IFERROR(收入[[#This Row],[年度]]/收入[[#Totals],[年度]],"-")</calculatedColumnFormula>
    </tableColumn>
  </tableColumns>
  <tableStyleInfo name="损益收入" showFirstColumn="1" showLastColumn="1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00000000-000C-0000-FFFF-FFFF12000000}" name="CostofSales" displayName="CostofSales" ref="B6:AD15" totalsRowCount="1">
  <tableColumns count="29">
    <tableColumn id="1" xr3:uid="{00000000-0010-0000-1200-000001000000}" name="成本" totalsRowLabel="毛利润" dataDxfId="120"/>
    <tableColumn id="2" xr3:uid="{00000000-0010-0000-1200-000002000000}" name="趋势" dataDxfId="119"/>
    <tableColumn id="3" xr3:uid="{00000000-0010-0000-1200-000003000000}" name="1 月" totalsRowFunction="custom">
      <totalsRowFormula>收入!D14-D14</totalsRowFormula>
    </tableColumn>
    <tableColumn id="4" xr3:uid="{00000000-0010-0000-1200-000004000000}" name="2 月" totalsRowFunction="custom">
      <totalsRowFormula>收入!E14-E14</totalsRowFormula>
    </tableColumn>
    <tableColumn id="5" xr3:uid="{00000000-0010-0000-1200-000005000000}" name="3 月" totalsRowFunction="custom">
      <totalsRowFormula>收入!F14-F14</totalsRowFormula>
    </tableColumn>
    <tableColumn id="6" xr3:uid="{00000000-0010-0000-1200-000006000000}" name="4 月" totalsRowFunction="custom">
      <totalsRowFormula>收入!G14-G14</totalsRowFormula>
    </tableColumn>
    <tableColumn id="7" xr3:uid="{00000000-0010-0000-1200-000007000000}" name="5 月" totalsRowFunction="custom">
      <totalsRowFormula>收入!H14-H14</totalsRowFormula>
    </tableColumn>
    <tableColumn id="8" xr3:uid="{00000000-0010-0000-1200-000008000000}" name="6 月" totalsRowFunction="custom">
      <totalsRowFormula>收入!I14-I14</totalsRowFormula>
    </tableColumn>
    <tableColumn id="9" xr3:uid="{00000000-0010-0000-1200-000009000000}" name="7 月" totalsRowFunction="custom">
      <totalsRowFormula>收入!J14-J14</totalsRowFormula>
    </tableColumn>
    <tableColumn id="10" xr3:uid="{00000000-0010-0000-1200-00000A000000}" name="8 月" totalsRowFunction="custom">
      <totalsRowFormula>收入!K14-K14</totalsRowFormula>
    </tableColumn>
    <tableColumn id="11" xr3:uid="{00000000-0010-0000-1200-00000B000000}" name="9 月" totalsRowFunction="custom">
      <totalsRowFormula>收入!L14-L14</totalsRowFormula>
    </tableColumn>
    <tableColumn id="12" xr3:uid="{00000000-0010-0000-1200-00000C000000}" name="10 月" totalsRowFunction="custom">
      <totalsRowFormula>收入!M14-M14</totalsRowFormula>
    </tableColumn>
    <tableColumn id="13" xr3:uid="{00000000-0010-0000-1200-00000D000000}" name="11 月" totalsRowFunction="custom">
      <totalsRowFormula>收入!N14-N14</totalsRowFormula>
    </tableColumn>
    <tableColumn id="14" xr3:uid="{00000000-0010-0000-1200-00000E000000}" name="12 月" totalsRowFunction="custom">
      <totalsRowFormula>收入!O14-O14</totalsRowFormula>
    </tableColumn>
    <tableColumn id="15" xr3:uid="{00000000-0010-0000-1200-00000F000000}" name="年度" totalsRowFunction="custom">
      <calculatedColumnFormula>收入!P14-P14</calculatedColumnFormula>
      <totalsRowFormula>收入!P14-P14</totalsRowFormula>
    </tableColumn>
    <tableColumn id="16" xr3:uid="{00000000-0010-0000-1200-000010000000}" name="指数 %" dataDxfId="118"/>
    <tableColumn id="17" xr3:uid="{00000000-0010-0000-1200-000011000000}" name="1 月 %" dataDxfId="117">
      <calculatedColumnFormula>D7/D$14</calculatedColumnFormula>
    </tableColumn>
    <tableColumn id="18" xr3:uid="{00000000-0010-0000-1200-000012000000}" name="2 月 %" dataDxfId="116">
      <calculatedColumnFormula>E7/E$14</calculatedColumnFormula>
    </tableColumn>
    <tableColumn id="19" xr3:uid="{00000000-0010-0000-1200-000013000000}" name="3 月 %" dataDxfId="115">
      <calculatedColumnFormula>F7/F$14</calculatedColumnFormula>
    </tableColumn>
    <tableColumn id="20" xr3:uid="{00000000-0010-0000-1200-000014000000}" name="4 月 %" dataDxfId="114">
      <calculatedColumnFormula>G7/G$14</calculatedColumnFormula>
    </tableColumn>
    <tableColumn id="21" xr3:uid="{00000000-0010-0000-1200-000015000000}" name="5 月 %" dataDxfId="113">
      <calculatedColumnFormula>H7/H$14</calculatedColumnFormula>
    </tableColumn>
    <tableColumn id="22" xr3:uid="{00000000-0010-0000-1200-000016000000}" name="6 月 %" dataDxfId="112">
      <calculatedColumnFormula>I7/I$14</calculatedColumnFormula>
    </tableColumn>
    <tableColumn id="23" xr3:uid="{00000000-0010-0000-1200-000017000000}" name="7 月 %" dataDxfId="111">
      <calculatedColumnFormula>J7/J$14</calculatedColumnFormula>
    </tableColumn>
    <tableColumn id="24" xr3:uid="{00000000-0010-0000-1200-000018000000}" name="8 月 %" dataDxfId="110">
      <calculatedColumnFormula>K7/K$14</calculatedColumnFormula>
    </tableColumn>
    <tableColumn id="25" xr3:uid="{00000000-0010-0000-1200-000019000000}" name="9 月 %" dataDxfId="109">
      <calculatedColumnFormula>L7/L$14</calculatedColumnFormula>
    </tableColumn>
    <tableColumn id="26" xr3:uid="{00000000-0010-0000-1200-00001A000000}" name="10 月 %" dataDxfId="108">
      <calculatedColumnFormula>M7/M$14</calculatedColumnFormula>
    </tableColumn>
    <tableColumn id="27" xr3:uid="{00000000-0010-0000-1200-00001B000000}" name="11 月 %" dataDxfId="107">
      <calculatedColumnFormula>N7/N$14</calculatedColumnFormula>
    </tableColumn>
    <tableColumn id="28" xr3:uid="{00000000-0010-0000-1200-00001C000000}" name="12 月 %" dataDxfId="106">
      <calculatedColumnFormula>O7/O$14</calculatedColumnFormula>
    </tableColumn>
    <tableColumn id="29" xr3:uid="{00000000-0010-0000-1200-00001D000000}" name="年度 %" dataDxfId="105">
      <calculatedColumnFormula>P7/P$14</calculatedColumnFormula>
    </tableColumn>
  </tableColumns>
  <tableStyleInfo name="损益销售额" showFirstColumn="1" showLastColumn="1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00000000-000C-0000-FFFF-FFFF13000000}" name="tblExpenses" displayName="tblExpenses" ref="B6:AD27" totalsRowCount="1">
  <tableColumns count="29">
    <tableColumn id="1" xr3:uid="{00000000-0010-0000-1300-000001000000}" name="费用" totalsRowLabel="净利润" dataDxfId="104"/>
    <tableColumn id="2" xr3:uid="{00000000-0010-0000-1300-000002000000}" name="趋势" dataDxfId="103"/>
    <tableColumn id="3" xr3:uid="{00000000-0010-0000-1300-000003000000}" name="1 月" totalsRowFunction="custom">
      <totalsRowFormula>成本!D15-D26</totalsRowFormula>
    </tableColumn>
    <tableColumn id="4" xr3:uid="{00000000-0010-0000-1300-000004000000}" name="2 月" totalsRowFunction="custom">
      <totalsRowFormula>成本!E15-E26</totalsRowFormula>
    </tableColumn>
    <tableColumn id="5" xr3:uid="{00000000-0010-0000-1300-000005000000}" name="3 月" totalsRowFunction="custom">
      <totalsRowFormula>成本!F15-F26</totalsRowFormula>
    </tableColumn>
    <tableColumn id="6" xr3:uid="{00000000-0010-0000-1300-000006000000}" name="4 月" totalsRowFunction="custom">
      <totalsRowFormula>成本!G15-G26</totalsRowFormula>
    </tableColumn>
    <tableColumn id="7" xr3:uid="{00000000-0010-0000-1300-000007000000}" name="5 月" totalsRowFunction="custom">
      <totalsRowFormula>成本!H15-H26</totalsRowFormula>
    </tableColumn>
    <tableColumn id="8" xr3:uid="{00000000-0010-0000-1300-000008000000}" name="6 月" totalsRowFunction="custom">
      <totalsRowFormula>成本!I15-I26</totalsRowFormula>
    </tableColumn>
    <tableColumn id="9" xr3:uid="{00000000-0010-0000-1300-000009000000}" name="7 月" totalsRowFunction="custom">
      <totalsRowFormula>成本!J15-J26</totalsRowFormula>
    </tableColumn>
    <tableColumn id="10" xr3:uid="{00000000-0010-0000-1300-00000A000000}" name="8 月" totalsRowFunction="custom">
      <totalsRowFormula>成本!K15-K26</totalsRowFormula>
    </tableColumn>
    <tableColumn id="11" xr3:uid="{00000000-0010-0000-1300-00000B000000}" name="9 月" totalsRowFunction="custom">
      <totalsRowFormula>成本!L15-L26</totalsRowFormula>
    </tableColumn>
    <tableColumn id="12" xr3:uid="{00000000-0010-0000-1300-00000C000000}" name="10 月" totalsRowFunction="custom">
      <totalsRowFormula>成本!M15-M26</totalsRowFormula>
    </tableColumn>
    <tableColumn id="13" xr3:uid="{00000000-0010-0000-1300-00000D000000}" name="11 月" totalsRowFunction="custom">
      <totalsRowFormula>成本!N15-N26</totalsRowFormula>
    </tableColumn>
    <tableColumn id="14" xr3:uid="{00000000-0010-0000-1300-00000E000000}" name="12 月" totalsRowFunction="custom">
      <totalsRowFormula>成本!O15-O26</totalsRowFormula>
    </tableColumn>
    <tableColumn id="15" xr3:uid="{00000000-0010-0000-1300-00000F000000}" name="年度" totalsRowFunction="custom">
      <calculatedColumnFormula>成本!P15-P26</calculatedColumnFormula>
      <totalsRowFormula>成本!P15-P26</totalsRowFormula>
    </tableColumn>
    <tableColumn id="16" xr3:uid="{00000000-0010-0000-1300-000010000000}" name="指数 %" dataDxfId="102"/>
    <tableColumn id="17" xr3:uid="{00000000-0010-0000-1300-000011000000}" name="1 月 %" dataDxfId="101">
      <calculatedColumnFormula>D7/D$26</calculatedColumnFormula>
    </tableColumn>
    <tableColumn id="18" xr3:uid="{00000000-0010-0000-1300-000012000000}" name="2 月 %" dataDxfId="100">
      <calculatedColumnFormula>E7/E$26</calculatedColumnFormula>
    </tableColumn>
    <tableColumn id="19" xr3:uid="{00000000-0010-0000-1300-000013000000}" name="3 月 %" dataDxfId="99">
      <calculatedColumnFormula>F7/F$26</calculatedColumnFormula>
    </tableColumn>
    <tableColumn id="20" xr3:uid="{00000000-0010-0000-1300-000014000000}" name="4 月 %" dataDxfId="98">
      <calculatedColumnFormula>G7/G$26</calculatedColumnFormula>
    </tableColumn>
    <tableColumn id="21" xr3:uid="{00000000-0010-0000-1300-000015000000}" name="5 月 %" dataDxfId="97">
      <calculatedColumnFormula>H7/H$26</calculatedColumnFormula>
    </tableColumn>
    <tableColumn id="22" xr3:uid="{00000000-0010-0000-1300-000016000000}" name="6 月 %" dataDxfId="96">
      <calculatedColumnFormula>I7/I$26</calculatedColumnFormula>
    </tableColumn>
    <tableColumn id="23" xr3:uid="{00000000-0010-0000-1300-000017000000}" name="7 月 %" dataDxfId="95">
      <calculatedColumnFormula>J7/J$26</calculatedColumnFormula>
    </tableColumn>
    <tableColumn id="24" xr3:uid="{00000000-0010-0000-1300-000018000000}" name="8 月 %" dataDxfId="94">
      <calculatedColumnFormula>K7/K$26</calculatedColumnFormula>
    </tableColumn>
    <tableColumn id="25" xr3:uid="{00000000-0010-0000-1300-000019000000}" name="9 月 %" dataDxfId="93">
      <calculatedColumnFormula>L7/L$26</calculatedColumnFormula>
    </tableColumn>
    <tableColumn id="26" xr3:uid="{00000000-0010-0000-1300-00001A000000}" name="10 月 %" dataDxfId="92">
      <calculatedColumnFormula>M7/M$26</calculatedColumnFormula>
    </tableColumn>
    <tableColumn id="27" xr3:uid="{00000000-0010-0000-1300-00001B000000}" name="11 月 %" dataDxfId="91">
      <calculatedColumnFormula>N7/N$26</calculatedColumnFormula>
    </tableColumn>
    <tableColumn id="28" xr3:uid="{00000000-0010-0000-1300-00001C000000}" name="12 月 %" dataDxfId="90">
      <calculatedColumnFormula>O7/O$26</calculatedColumnFormula>
    </tableColumn>
    <tableColumn id="29" xr3:uid="{00000000-0010-0000-1300-00001D000000}" name="年度 %" dataDxfId="89">
      <calculatedColumnFormula>P7/P$26</calculatedColumnFormula>
    </tableColumn>
  </tableColumns>
  <tableStyleInfo name="自定义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4000000}" name="固定资产" displayName="固定资产" ref="B14:O19" totalsRowCount="1">
  <autoFilter ref="B14:O18" xr:uid="{00000000-0009-0000-0100-000012000000}"/>
  <tableColumns count="14">
    <tableColumn id="1" xr3:uid="{00000000-0010-0000-1400-000001000000}" name="固定资产：" totalsRowLabel="固定资产总额" dataDxfId="88"/>
    <tableColumn id="2" xr3:uid="{00000000-0010-0000-1400-000002000000}" name="上一年度" totalsRowFunction="sum" dataDxfId="87"/>
    <tableColumn id="3" xr3:uid="{00000000-0010-0000-1400-000003000000}" name="1月" totalsRowFunction="sum" dataDxfId="86"/>
    <tableColumn id="6" xr3:uid="{00000000-0010-0000-1400-000006000000}" name="2月" totalsRowFunction="sum" dataDxfId="85"/>
    <tableColumn id="7" xr3:uid="{00000000-0010-0000-1400-000007000000}" name="3月" totalsRowFunction="sum" dataDxfId="84"/>
    <tableColumn id="8" xr3:uid="{00000000-0010-0000-1400-000008000000}" name="4月" totalsRowFunction="sum" dataDxfId="83"/>
    <tableColumn id="9" xr3:uid="{00000000-0010-0000-1400-000009000000}" name="5月" totalsRowFunction="sum" dataDxfId="82"/>
    <tableColumn id="10" xr3:uid="{00000000-0010-0000-1400-00000A000000}" name="6月" totalsRowFunction="sum" dataDxfId="81"/>
    <tableColumn id="11" xr3:uid="{00000000-0010-0000-1400-00000B000000}" name="7月" totalsRowFunction="sum" dataDxfId="80"/>
    <tableColumn id="12" xr3:uid="{00000000-0010-0000-1400-00000C000000}" name="8月" totalsRowFunction="sum" dataDxfId="79"/>
    <tableColumn id="13" xr3:uid="{00000000-0010-0000-1400-00000D000000}" name="9月" totalsRowFunction="sum" dataDxfId="78"/>
    <tableColumn id="14" xr3:uid="{00000000-0010-0000-1400-00000E000000}" name="10月" totalsRowFunction="sum" dataDxfId="77"/>
    <tableColumn id="15" xr3:uid="{00000000-0010-0000-1400-00000F000000}" name="11月" totalsRowFunction="sum" dataDxfId="76"/>
    <tableColumn id="16" xr3:uid="{00000000-0010-0000-1400-000010000000}" name="12月" totalsRowFunction="sum" dataDxfId="75"/>
  </tableColumns>
  <tableStyleInfo name="TableStyleMedium8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5000000}" name="其他资产" displayName="其他资产" ref="B21:O23" totalsRowCount="1">
  <autoFilter ref="B21:O22" xr:uid="{00000000-0009-0000-0100-000013000000}"/>
  <tableColumns count="14">
    <tableColumn id="1" xr3:uid="{00000000-0010-0000-1500-000001000000}" name="其他资产：" totalsRowLabel="其他资产总额" dataDxfId="74"/>
    <tableColumn id="2" xr3:uid="{00000000-0010-0000-1500-000002000000}" name="上一年度" totalsRowFunction="sum" dataDxfId="73"/>
    <tableColumn id="3" xr3:uid="{00000000-0010-0000-1500-000003000000}" name="1月" totalsRowFunction="sum" dataDxfId="72"/>
    <tableColumn id="4" xr3:uid="{00000000-0010-0000-1500-000004000000}" name="2月" totalsRowFunction="sum" dataDxfId="71"/>
    <tableColumn id="5" xr3:uid="{00000000-0010-0000-1500-000005000000}" name="3月" totalsRowFunction="sum" dataDxfId="70"/>
    <tableColumn id="6" xr3:uid="{00000000-0010-0000-1500-000006000000}" name="4月" totalsRowFunction="sum" dataDxfId="69"/>
    <tableColumn id="7" xr3:uid="{00000000-0010-0000-1500-000007000000}" name="5月" totalsRowFunction="sum" dataDxfId="68"/>
    <tableColumn id="8" xr3:uid="{00000000-0010-0000-1500-000008000000}" name="6月" totalsRowFunction="sum" dataDxfId="67"/>
    <tableColumn id="9" xr3:uid="{00000000-0010-0000-1500-000009000000}" name="7月" totalsRowFunction="sum" dataDxfId="66"/>
    <tableColumn id="10" xr3:uid="{00000000-0010-0000-1500-00000A000000}" name="8月" totalsRowFunction="sum" dataDxfId="65"/>
    <tableColumn id="11" xr3:uid="{00000000-0010-0000-1500-00000B000000}" name="9月" totalsRowFunction="sum" dataDxfId="64"/>
    <tableColumn id="12" xr3:uid="{00000000-0010-0000-1500-00000C000000}" name="10月" totalsRowFunction="sum" dataDxfId="63"/>
    <tableColumn id="13" xr3:uid="{00000000-0010-0000-1500-00000D000000}" name="11月" totalsRowFunction="sum" dataDxfId="62"/>
    <tableColumn id="14" xr3:uid="{00000000-0010-0000-1500-00000E000000}" name="12月" totalsRowFunction="sum" dataDxfId="61"/>
  </tableColumns>
  <tableStyleInfo name="TableStyleMedium8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6000000}" name="流动负债" displayName="流动负债" ref="B28:O35" totalsRowCount="1">
  <autoFilter ref="B28:O34" xr:uid="{00000000-0009-0000-0100-000014000000}"/>
  <tableColumns count="14">
    <tableColumn id="1" xr3:uid="{00000000-0010-0000-1600-000001000000}" name="流动负债：" totalsRowLabel="流动负债总额" dataDxfId="60"/>
    <tableColumn id="2" xr3:uid="{00000000-0010-0000-1600-000002000000}" name="上一年度" totalsRowFunction="sum" dataDxfId="59"/>
    <tableColumn id="3" xr3:uid="{00000000-0010-0000-1600-000003000000}" name="1月" totalsRowFunction="sum" dataDxfId="58"/>
    <tableColumn id="4" xr3:uid="{00000000-0010-0000-1600-000004000000}" name="2月" totalsRowFunction="sum" dataDxfId="57"/>
    <tableColumn id="5" xr3:uid="{00000000-0010-0000-1600-000005000000}" name="3月" totalsRowFunction="sum" dataDxfId="56"/>
    <tableColumn id="6" xr3:uid="{00000000-0010-0000-1600-000006000000}" name="4月" totalsRowFunction="sum" dataDxfId="55"/>
    <tableColumn id="7" xr3:uid="{00000000-0010-0000-1600-000007000000}" name="5月" totalsRowFunction="sum" dataDxfId="54"/>
    <tableColumn id="8" xr3:uid="{00000000-0010-0000-1600-000008000000}" name="6月" totalsRowFunction="sum" dataDxfId="53"/>
    <tableColumn id="9" xr3:uid="{00000000-0010-0000-1600-000009000000}" name="7月" totalsRowFunction="sum" dataDxfId="52"/>
    <tableColumn id="10" xr3:uid="{00000000-0010-0000-1600-00000A000000}" name="8月" totalsRowFunction="sum" dataDxfId="51"/>
    <tableColumn id="11" xr3:uid="{00000000-0010-0000-1600-00000B000000}" name="9月" totalsRowFunction="sum" dataDxfId="50"/>
    <tableColumn id="12" xr3:uid="{00000000-0010-0000-1600-00000C000000}" name="10月" totalsRowFunction="sum" dataDxfId="49"/>
    <tableColumn id="13" xr3:uid="{00000000-0010-0000-1600-00000D000000}" name="11月" totalsRowFunction="sum" dataDxfId="48"/>
    <tableColumn id="14" xr3:uid="{00000000-0010-0000-1600-00000E000000}" name="12月" totalsRowFunction="sum" dataDxfId="47"/>
  </tableColumns>
  <tableStyleInfo name="TableStyleMedium10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7000000}" name="长期负债" displayName="长期负债" ref="B37:O39" totalsRowCount="1">
  <autoFilter ref="B37:O38" xr:uid="{00000000-0009-0000-0100-000015000000}"/>
  <tableColumns count="14">
    <tableColumn id="1" xr3:uid="{00000000-0010-0000-1700-000001000000}" name="长期负债：" totalsRowLabel="长期负债总额" dataDxfId="46"/>
    <tableColumn id="2" xr3:uid="{00000000-0010-0000-1700-000002000000}" name="上一年度" totalsRowFunction="sum" dataDxfId="45"/>
    <tableColumn id="3" xr3:uid="{00000000-0010-0000-1700-000003000000}" name="1月" totalsRowFunction="sum" dataDxfId="44"/>
    <tableColumn id="4" xr3:uid="{00000000-0010-0000-1700-000004000000}" name="2月" totalsRowFunction="sum" dataDxfId="43"/>
    <tableColumn id="5" xr3:uid="{00000000-0010-0000-1700-000005000000}" name="3月" totalsRowFunction="sum" dataDxfId="42"/>
    <tableColumn id="6" xr3:uid="{00000000-0010-0000-1700-000006000000}" name="4月" totalsRowFunction="sum" dataDxfId="41"/>
    <tableColumn id="7" xr3:uid="{00000000-0010-0000-1700-000007000000}" name="5月" totalsRowFunction="sum" dataDxfId="40"/>
    <tableColumn id="8" xr3:uid="{00000000-0010-0000-1700-000008000000}" name="6月" totalsRowFunction="sum" dataDxfId="39"/>
    <tableColumn id="9" xr3:uid="{00000000-0010-0000-1700-000009000000}" name="7月" totalsRowFunction="sum" dataDxfId="38"/>
    <tableColumn id="10" xr3:uid="{00000000-0010-0000-1700-00000A000000}" name="8月" totalsRowFunction="sum" dataDxfId="37"/>
    <tableColumn id="11" xr3:uid="{00000000-0010-0000-1700-00000B000000}" name="9月" totalsRowFunction="sum" dataDxfId="36"/>
    <tableColumn id="12" xr3:uid="{00000000-0010-0000-1700-00000C000000}" name="10月" totalsRowFunction="sum" dataDxfId="35"/>
    <tableColumn id="13" xr3:uid="{00000000-0010-0000-1700-00000D000000}" name="11月" totalsRowFunction="sum" dataDxfId="34"/>
    <tableColumn id="14" xr3:uid="{00000000-0010-0000-1700-00000E000000}" name="12月" totalsRowFunction="sum" dataDxfId="33"/>
  </tableColumns>
  <tableStyleInfo name="TableStyleMedium10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18000000}" name="所有者权益" displayName="所有者权益" ref="B41:O44" totalsRowCount="1">
  <autoFilter ref="B41:O43" xr:uid="{00000000-0009-0000-0100-000016000000}"/>
  <tableColumns count="14">
    <tableColumn id="1" xr3:uid="{00000000-0010-0000-1800-000001000000}" name="所有者权益：" totalsRowLabel="所有者权益总额" dataDxfId="32"/>
    <tableColumn id="2" xr3:uid="{00000000-0010-0000-1800-000002000000}" name="上一年度" totalsRowFunction="sum" dataDxfId="31"/>
    <tableColumn id="3" xr3:uid="{00000000-0010-0000-1800-000003000000}" name="1月" totalsRowFunction="sum" dataDxfId="30"/>
    <tableColumn id="4" xr3:uid="{00000000-0010-0000-1800-000004000000}" name="2月" totalsRowFunction="sum" dataDxfId="29"/>
    <tableColumn id="5" xr3:uid="{00000000-0010-0000-1800-000005000000}" name="3月" totalsRowFunction="sum" dataDxfId="28"/>
    <tableColumn id="6" xr3:uid="{00000000-0010-0000-1800-000006000000}" name="4月" totalsRowFunction="sum" dataDxfId="27"/>
    <tableColumn id="7" xr3:uid="{00000000-0010-0000-1800-000007000000}" name="5月" totalsRowFunction="sum" dataDxfId="26"/>
    <tableColumn id="8" xr3:uid="{00000000-0010-0000-1800-000008000000}" name="6月" totalsRowFunction="sum" dataDxfId="25"/>
    <tableColumn id="9" xr3:uid="{00000000-0010-0000-1800-000009000000}" name="7月" totalsRowFunction="sum" dataDxfId="24"/>
    <tableColumn id="10" xr3:uid="{00000000-0010-0000-1800-00000A000000}" name="8月" totalsRowFunction="sum" dataDxfId="23"/>
    <tableColumn id="11" xr3:uid="{00000000-0010-0000-1800-00000B000000}" name="9月" totalsRowFunction="sum" dataDxfId="22"/>
    <tableColumn id="12" xr3:uid="{00000000-0010-0000-1800-00000C000000}" name="10月" totalsRowFunction="sum" dataDxfId="21"/>
    <tableColumn id="13" xr3:uid="{00000000-0010-0000-1800-00000D000000}" name="11月" totalsRowFunction="sum" dataDxfId="20"/>
    <tableColumn id="14" xr3:uid="{00000000-0010-0000-1800-00000E000000}" name="12月" totalsRowFunction="sum" dataDxfId="19"/>
  </tableColumns>
  <tableStyleInfo name="TableStyleMedium10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19000000}" name="流动资产" displayName="流动资产" ref="B5:O12" totalsRowCount="1">
  <autoFilter ref="B5:O11" xr:uid="{00000000-0009-0000-0100-000017000000}"/>
  <tableColumns count="14">
    <tableColumn id="1" xr3:uid="{00000000-0010-0000-1900-000001000000}" name="流动资产：" totalsRowLabel="流动资产总额" dataDxfId="18"/>
    <tableColumn id="2" xr3:uid="{00000000-0010-0000-1900-000002000000}" name="上一年度" totalsRowFunction="sum" dataDxfId="17"/>
    <tableColumn id="3" xr3:uid="{00000000-0010-0000-1900-000003000000}" name="1月" totalsRowFunction="sum" dataDxfId="16"/>
    <tableColumn id="4" xr3:uid="{00000000-0010-0000-1900-000004000000}" name="2月" totalsRowFunction="sum" dataDxfId="15"/>
    <tableColumn id="5" xr3:uid="{00000000-0010-0000-1900-000005000000}" name="3月" totalsRowFunction="sum" dataDxfId="14"/>
    <tableColumn id="6" xr3:uid="{00000000-0010-0000-1900-000006000000}" name="4月" totalsRowFunction="sum" dataDxfId="13"/>
    <tableColumn id="7" xr3:uid="{00000000-0010-0000-1900-000007000000}" name="5月" totalsRowFunction="sum" dataDxfId="12"/>
    <tableColumn id="8" xr3:uid="{00000000-0010-0000-1900-000008000000}" name="6月" totalsRowFunction="sum" dataDxfId="11"/>
    <tableColumn id="9" xr3:uid="{00000000-0010-0000-1900-000009000000}" name="7月" totalsRowFunction="sum" dataDxfId="10"/>
    <tableColumn id="10" xr3:uid="{00000000-0010-0000-1900-00000A000000}" name="8月" totalsRowFunction="sum" dataDxfId="9"/>
    <tableColumn id="11" xr3:uid="{00000000-0010-0000-1900-00000B000000}" name="9月" totalsRowFunction="sum" dataDxfId="8"/>
    <tableColumn id="12" xr3:uid="{00000000-0010-0000-1900-00000C000000}" name="10月" totalsRowFunction="sum" dataDxfId="7"/>
    <tableColumn id="13" xr3:uid="{00000000-0010-0000-1900-00000D000000}" name="11月" totalsRowFunction="sum" dataDxfId="6"/>
    <tableColumn id="14" xr3:uid="{00000000-0010-0000-1900-00000E000000}" name="12月" totalsRowFunction="sum" dataDxfId="5"/>
  </tableColumns>
  <tableStyleInfo name="TableStyleMedium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Custom 31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7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2.xml"/><Relationship Id="rId13" Type="http://schemas.openxmlformats.org/officeDocument/2006/relationships/table" Target="../tables/table17.xml"/><Relationship Id="rId3" Type="http://schemas.openxmlformats.org/officeDocument/2006/relationships/table" Target="../tables/table7.xml"/><Relationship Id="rId7" Type="http://schemas.openxmlformats.org/officeDocument/2006/relationships/table" Target="../tables/table11.xml"/><Relationship Id="rId12" Type="http://schemas.openxmlformats.org/officeDocument/2006/relationships/table" Target="../tables/table16.xml"/><Relationship Id="rId2" Type="http://schemas.openxmlformats.org/officeDocument/2006/relationships/table" Target="../tables/table6.xml"/><Relationship Id="rId1" Type="http://schemas.openxmlformats.org/officeDocument/2006/relationships/drawing" Target="../drawings/drawing1.xml"/><Relationship Id="rId6" Type="http://schemas.openxmlformats.org/officeDocument/2006/relationships/table" Target="../tables/table10.xml"/><Relationship Id="rId11" Type="http://schemas.openxmlformats.org/officeDocument/2006/relationships/table" Target="../tables/table15.xml"/><Relationship Id="rId5" Type="http://schemas.openxmlformats.org/officeDocument/2006/relationships/table" Target="../tables/table9.xml"/><Relationship Id="rId10" Type="http://schemas.openxmlformats.org/officeDocument/2006/relationships/table" Target="../tables/table14.xml"/><Relationship Id="rId4" Type="http://schemas.openxmlformats.org/officeDocument/2006/relationships/table" Target="../tables/table8.xml"/><Relationship Id="rId9" Type="http://schemas.openxmlformats.org/officeDocument/2006/relationships/table" Target="../tables/table1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3.xml"/><Relationship Id="rId2" Type="http://schemas.openxmlformats.org/officeDocument/2006/relationships/table" Target="../tables/table22.xml"/><Relationship Id="rId1" Type="http://schemas.openxmlformats.org/officeDocument/2006/relationships/table" Target="../tables/table21.xml"/><Relationship Id="rId6" Type="http://schemas.openxmlformats.org/officeDocument/2006/relationships/table" Target="../tables/table26.xml"/><Relationship Id="rId5" Type="http://schemas.openxmlformats.org/officeDocument/2006/relationships/table" Target="../tables/table25.xml"/><Relationship Id="rId4" Type="http://schemas.openxmlformats.org/officeDocument/2006/relationships/table" Target="../tables/table24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>
    <tabColor theme="4" tint="-0.249977111117893"/>
  </sheetPr>
  <dimension ref="A1:T172"/>
  <sheetViews>
    <sheetView showGridLines="0" tabSelected="1" zoomScale="117" workbookViewId="0">
      <selection activeCell="D14" sqref="D14"/>
    </sheetView>
  </sheetViews>
  <sheetFormatPr baseColWidth="10" defaultColWidth="9" defaultRowHeight="26" customHeight="1"/>
  <cols>
    <col min="1" max="1" width="5.5" style="299" customWidth="1"/>
    <col min="2" max="2" width="14.6640625" style="300" customWidth="1"/>
    <col min="3" max="3" width="22.1640625" style="299" customWidth="1"/>
    <col min="4" max="4" width="18.1640625" style="299" customWidth="1"/>
    <col min="5" max="5" width="13.6640625" style="301" customWidth="1"/>
    <col min="6" max="7" width="19" style="299" customWidth="1"/>
    <col min="8" max="8" width="13.6640625" style="302" customWidth="1"/>
    <col min="9" max="9" width="16.33203125" style="299" customWidth="1"/>
    <col min="10" max="10" width="0.6640625" style="303" customWidth="1"/>
    <col min="11" max="11" width="12.5" style="303" customWidth="1"/>
    <col min="12" max="12" width="12.6640625" style="303" customWidth="1"/>
    <col min="13" max="16384" width="9" style="303"/>
  </cols>
  <sheetData>
    <row r="1" spans="1:20" ht="38" customHeight="1">
      <c r="A1" s="344" t="s">
        <v>315</v>
      </c>
      <c r="B1" s="345"/>
      <c r="C1" s="346"/>
      <c r="D1" s="346"/>
      <c r="E1" s="347"/>
      <c r="F1" s="346"/>
      <c r="G1" s="346"/>
      <c r="H1" s="347"/>
      <c r="I1" s="346"/>
      <c r="J1" s="346"/>
      <c r="K1" s="346"/>
      <c r="L1" s="346"/>
    </row>
    <row r="2" spans="1:20" ht="4" customHeight="1">
      <c r="A2" s="303"/>
      <c r="B2" s="304"/>
      <c r="C2" s="303"/>
      <c r="D2" s="303"/>
      <c r="E2" s="305"/>
      <c r="F2" s="303"/>
      <c r="G2" s="303"/>
      <c r="H2" s="305"/>
      <c r="I2" s="303"/>
    </row>
    <row r="3" spans="1:20" ht="18" customHeight="1">
      <c r="A3" s="326" t="s">
        <v>0</v>
      </c>
      <c r="B3" s="327" t="s">
        <v>1</v>
      </c>
      <c r="C3" s="326" t="s">
        <v>2</v>
      </c>
      <c r="D3" s="326"/>
      <c r="E3" s="348"/>
      <c r="F3" s="326" t="s">
        <v>3</v>
      </c>
      <c r="G3" s="326"/>
      <c r="H3" s="348"/>
      <c r="I3" s="326" t="s">
        <v>4</v>
      </c>
      <c r="K3" s="328">
        <f ca="1">YEAR(TODAY())</f>
        <v>2026</v>
      </c>
      <c r="L3" s="329"/>
    </row>
    <row r="4" spans="1:20" ht="18" customHeight="1">
      <c r="A4" s="326"/>
      <c r="B4" s="327"/>
      <c r="C4" s="306" t="s">
        <v>5</v>
      </c>
      <c r="D4" s="322" t="s">
        <v>323</v>
      </c>
      <c r="E4" s="307" t="s">
        <v>6</v>
      </c>
      <c r="F4" s="306" t="s">
        <v>5</v>
      </c>
      <c r="G4" s="322" t="s">
        <v>323</v>
      </c>
      <c r="H4" s="307" t="s">
        <v>6</v>
      </c>
      <c r="I4" s="326"/>
      <c r="K4" s="330"/>
      <c r="L4" s="331"/>
    </row>
    <row r="5" spans="1:20" ht="26" customHeight="1">
      <c r="A5" s="308">
        <v>1</v>
      </c>
      <c r="B5" s="318">
        <v>46138</v>
      </c>
      <c r="C5" s="319" t="s">
        <v>316</v>
      </c>
      <c r="D5" s="319" t="s">
        <v>324</v>
      </c>
      <c r="E5" s="310">
        <v>30000</v>
      </c>
      <c r="F5" s="320" t="s">
        <v>318</v>
      </c>
      <c r="G5" s="320" t="s">
        <v>325</v>
      </c>
      <c r="H5" s="311">
        <v>48.28</v>
      </c>
      <c r="I5" s="308" t="s">
        <v>317</v>
      </c>
      <c r="K5" s="349">
        <v>4</v>
      </c>
      <c r="L5" s="350"/>
    </row>
    <row r="6" spans="1:20" ht="26" customHeight="1">
      <c r="A6" s="308">
        <v>2</v>
      </c>
      <c r="B6" s="387">
        <v>46138</v>
      </c>
      <c r="C6" s="308"/>
      <c r="D6" s="308"/>
      <c r="E6" s="310"/>
      <c r="F6" s="320" t="s">
        <v>322</v>
      </c>
      <c r="G6" s="320" t="s">
        <v>325</v>
      </c>
      <c r="H6" s="311">
        <v>48.27</v>
      </c>
      <c r="I6" s="308" t="s">
        <v>321</v>
      </c>
      <c r="K6" s="332" t="s">
        <v>7</v>
      </c>
      <c r="L6" s="333"/>
    </row>
    <row r="7" spans="1:20" ht="26" customHeight="1">
      <c r="A7" s="308">
        <v>3</v>
      </c>
      <c r="B7" s="387">
        <v>46138</v>
      </c>
      <c r="C7" s="308"/>
      <c r="D7" s="308"/>
      <c r="E7" s="310"/>
      <c r="F7" s="320" t="s">
        <v>327</v>
      </c>
      <c r="G7" s="320" t="s">
        <v>325</v>
      </c>
      <c r="H7" s="311">
        <v>380.12</v>
      </c>
      <c r="I7" s="308" t="s">
        <v>328</v>
      </c>
      <c r="K7" s="334" cm="1">
        <f t="array" aca="1" ref="K7" ca="1">SUMPRODUCT(($E$5:$E$17200)*(YEAR($B$5:$B$17200)=$K$3)*(MONTH($B$5:$B$17200)=$K$5))</f>
        <v>30680</v>
      </c>
      <c r="L7" s="335"/>
    </row>
    <row r="8" spans="1:20" ht="26" customHeight="1">
      <c r="A8" s="308">
        <v>4</v>
      </c>
      <c r="B8" s="387">
        <v>46138</v>
      </c>
      <c r="C8" s="308"/>
      <c r="D8" s="308"/>
      <c r="E8" s="310"/>
      <c r="F8" s="320" t="s">
        <v>330</v>
      </c>
      <c r="G8" s="320" t="s">
        <v>325</v>
      </c>
      <c r="H8" s="311">
        <v>58.1</v>
      </c>
      <c r="I8" s="308" t="s">
        <v>328</v>
      </c>
      <c r="K8" s="332" t="s">
        <v>8</v>
      </c>
      <c r="L8" s="333"/>
    </row>
    <row r="9" spans="1:20" ht="26" customHeight="1">
      <c r="A9" s="308">
        <v>5</v>
      </c>
      <c r="B9" s="387">
        <v>46138</v>
      </c>
      <c r="C9" s="308"/>
      <c r="D9" s="308"/>
      <c r="E9" s="310"/>
      <c r="F9" s="320" t="s">
        <v>332</v>
      </c>
      <c r="G9" s="320" t="s">
        <v>325</v>
      </c>
      <c r="H9" s="311">
        <v>35.659999999999997</v>
      </c>
      <c r="I9" s="308" t="s">
        <v>331</v>
      </c>
      <c r="K9" s="336">
        <f ca="1">SUMPRODUCT(($H$5:$H$17200)*(YEAR($B$5:$B$17200)=$K$3)*(MONTH($B$5:$B$17200)=$K$5))</f>
        <v>1209.3599999999999</v>
      </c>
      <c r="L9" s="337"/>
    </row>
    <row r="10" spans="1:20" ht="26" customHeight="1">
      <c r="A10" s="308">
        <v>6</v>
      </c>
      <c r="B10" s="387">
        <v>46138</v>
      </c>
      <c r="C10" s="308"/>
      <c r="D10" s="308"/>
      <c r="E10" s="310"/>
      <c r="F10" s="320" t="s">
        <v>333</v>
      </c>
      <c r="G10" s="320" t="s">
        <v>325</v>
      </c>
      <c r="H10" s="311">
        <v>38.93</v>
      </c>
      <c r="I10" s="308" t="s">
        <v>331</v>
      </c>
      <c r="K10" s="332" t="s">
        <v>9</v>
      </c>
      <c r="L10" s="333"/>
    </row>
    <row r="11" spans="1:20" ht="26" customHeight="1">
      <c r="A11" s="308">
        <v>7</v>
      </c>
      <c r="B11" s="309">
        <v>46139</v>
      </c>
      <c r="C11" s="319" t="s">
        <v>335</v>
      </c>
      <c r="D11" s="319" t="s">
        <v>334</v>
      </c>
      <c r="E11" s="310">
        <v>680</v>
      </c>
      <c r="F11" s="319" t="s">
        <v>336</v>
      </c>
      <c r="G11" s="319" t="s">
        <v>337</v>
      </c>
      <c r="H11" s="311">
        <v>600</v>
      </c>
      <c r="I11" s="319" t="s">
        <v>338</v>
      </c>
      <c r="K11" s="324">
        <f ca="1">K7-K9</f>
        <v>29470.639999999999</v>
      </c>
      <c r="L11" s="325"/>
    </row>
    <row r="12" spans="1:20" ht="26" customHeight="1">
      <c r="A12" s="308">
        <v>8</v>
      </c>
      <c r="B12" s="387">
        <v>46144</v>
      </c>
      <c r="E12" s="310"/>
      <c r="F12" s="308" t="s">
        <v>344</v>
      </c>
      <c r="G12" s="308" t="s">
        <v>345</v>
      </c>
      <c r="H12" s="311">
        <v>10000</v>
      </c>
      <c r="I12" s="308" t="s">
        <v>346</v>
      </c>
      <c r="K12" s="338" t="s">
        <v>10</v>
      </c>
      <c r="L12" s="339"/>
      <c r="O12" s="185"/>
      <c r="P12" s="185"/>
      <c r="Q12" s="185"/>
      <c r="R12" s="185"/>
      <c r="S12" s="185"/>
      <c r="T12" s="185"/>
    </row>
    <row r="13" spans="1:20" ht="26" customHeight="1">
      <c r="A13" s="308">
        <v>9</v>
      </c>
      <c r="B13" s="309"/>
      <c r="C13" s="308"/>
      <c r="D13" s="308"/>
      <c r="E13" s="310"/>
      <c r="F13" s="308"/>
      <c r="G13" s="308"/>
      <c r="H13" s="311"/>
      <c r="I13" s="308"/>
      <c r="K13" s="340" t="s">
        <v>11</v>
      </c>
      <c r="L13" s="341"/>
      <c r="O13" s="185"/>
      <c r="P13" s="185"/>
      <c r="Q13" s="185"/>
      <c r="R13" s="185"/>
      <c r="S13" s="185"/>
      <c r="T13" s="185"/>
    </row>
    <row r="14" spans="1:20" ht="26" customHeight="1">
      <c r="A14" s="308">
        <v>10</v>
      </c>
      <c r="B14" s="309"/>
      <c r="C14" s="308"/>
      <c r="D14" s="308"/>
      <c r="E14" s="310"/>
      <c r="F14" s="308"/>
      <c r="G14" s="308"/>
      <c r="H14" s="311"/>
      <c r="I14" s="308"/>
      <c r="K14" s="342">
        <v>43831</v>
      </c>
      <c r="L14" s="343"/>
      <c r="O14" s="185"/>
      <c r="P14" s="185"/>
      <c r="Q14" s="185"/>
      <c r="R14" s="185"/>
      <c r="S14" s="185"/>
      <c r="T14" s="185"/>
    </row>
    <row r="15" spans="1:20" ht="26" customHeight="1">
      <c r="A15" s="308">
        <v>11</v>
      </c>
      <c r="B15" s="309"/>
      <c r="C15" s="308"/>
      <c r="D15" s="308"/>
      <c r="E15" s="310"/>
      <c r="F15" s="308"/>
      <c r="G15" s="308"/>
      <c r="H15" s="311"/>
      <c r="I15" s="308"/>
      <c r="K15" s="340" t="s">
        <v>12</v>
      </c>
      <c r="L15" s="341"/>
      <c r="O15" s="185"/>
      <c r="P15" s="185"/>
      <c r="Q15" s="185"/>
      <c r="R15" s="185"/>
      <c r="S15" s="185"/>
      <c r="T15" s="185"/>
    </row>
    <row r="16" spans="1:20" ht="26" customHeight="1">
      <c r="A16" s="308"/>
      <c r="B16" s="309"/>
      <c r="C16" s="308"/>
      <c r="D16" s="308"/>
      <c r="E16" s="310"/>
      <c r="F16" s="308"/>
      <c r="G16" s="308"/>
      <c r="H16" s="311"/>
      <c r="I16" s="308"/>
      <c r="K16" s="342">
        <f ca="1">TODAY()</f>
        <v>46144</v>
      </c>
      <c r="L16" s="343"/>
      <c r="O16" s="185"/>
      <c r="P16" s="185"/>
      <c r="Q16" s="185"/>
      <c r="R16" s="185"/>
      <c r="S16" s="185"/>
      <c r="T16" s="185"/>
    </row>
    <row r="17" spans="1:20" ht="26" customHeight="1">
      <c r="A17" s="308"/>
      <c r="B17" s="309"/>
      <c r="C17" s="308"/>
      <c r="D17" s="308"/>
      <c r="E17" s="310"/>
      <c r="F17" s="308"/>
      <c r="G17" s="308"/>
      <c r="H17" s="311"/>
      <c r="I17" s="308"/>
      <c r="K17" s="332" t="s">
        <v>7</v>
      </c>
      <c r="L17" s="333"/>
      <c r="O17" s="185"/>
      <c r="P17" s="185"/>
      <c r="Q17" s="185"/>
      <c r="R17" s="185"/>
      <c r="S17" s="185"/>
      <c r="T17" s="185"/>
    </row>
    <row r="18" spans="1:20" ht="26" customHeight="1">
      <c r="A18" s="308"/>
      <c r="B18" s="309"/>
      <c r="C18" s="308"/>
      <c r="D18" s="308"/>
      <c r="E18" s="310"/>
      <c r="F18" s="308"/>
      <c r="G18" s="308"/>
      <c r="H18" s="311"/>
      <c r="I18" s="308"/>
      <c r="K18" s="334" cm="1">
        <f t="array" aca="1" ref="K18" ca="1">SUMPRODUCT(($E$5:$E$17200)*(($B$5:$B$17200)&gt;=$K$14)*(($B$5:$B$17200)&lt;=$K$16))</f>
        <v>30680</v>
      </c>
      <c r="L18" s="335"/>
    </row>
    <row r="19" spans="1:20" ht="26" customHeight="1">
      <c r="A19" s="308"/>
      <c r="B19" s="309"/>
      <c r="C19" s="308"/>
      <c r="D19" s="308"/>
      <c r="E19" s="310"/>
      <c r="F19" s="308"/>
      <c r="G19" s="308"/>
      <c r="H19" s="311"/>
      <c r="I19" s="308"/>
      <c r="K19" s="332" t="s">
        <v>8</v>
      </c>
      <c r="L19" s="333"/>
    </row>
    <row r="20" spans="1:20" ht="26" customHeight="1">
      <c r="A20" s="308"/>
      <c r="B20" s="309"/>
      <c r="C20" s="308"/>
      <c r="D20" s="308"/>
      <c r="E20" s="310"/>
      <c r="F20" s="308"/>
      <c r="G20" s="308"/>
      <c r="H20" s="311"/>
      <c r="I20" s="308"/>
      <c r="K20" s="336">
        <f ca="1">SUMPRODUCT(($H$5:$H$17200)*(($B$5:$B$17200)&gt;=$K$14)*(($B$5:$B$17200)&lt;=$K$16))</f>
        <v>11209.36</v>
      </c>
      <c r="L20" s="337"/>
    </row>
    <row r="21" spans="1:20" ht="26" customHeight="1">
      <c r="A21" s="308"/>
      <c r="B21" s="309"/>
      <c r="C21" s="308"/>
      <c r="D21" s="308"/>
      <c r="E21" s="310"/>
      <c r="F21" s="308"/>
      <c r="G21" s="308"/>
      <c r="H21" s="311"/>
      <c r="I21" s="308"/>
      <c r="K21" s="332" t="s">
        <v>9</v>
      </c>
      <c r="L21" s="333"/>
    </row>
    <row r="22" spans="1:20" ht="26" customHeight="1">
      <c r="A22" s="308"/>
      <c r="B22" s="309"/>
      <c r="C22" s="308"/>
      <c r="D22" s="308"/>
      <c r="E22" s="310" ph="1"/>
      <c r="F22" s="308"/>
      <c r="G22" s="308"/>
      <c r="H22" s="311"/>
      <c r="I22" s="308"/>
      <c r="K22" s="324">
        <f ca="1">K18-K20</f>
        <v>19470.64</v>
      </c>
      <c r="L22" s="325"/>
    </row>
    <row r="23" spans="1:20" ht="26" customHeight="1">
      <c r="A23" s="308"/>
      <c r="B23" s="309"/>
      <c r="C23" s="308"/>
      <c r="D23" s="308"/>
      <c r="E23" s="310"/>
      <c r="F23" s="308"/>
      <c r="G23" s="308"/>
      <c r="H23" s="311"/>
      <c r="I23" s="308"/>
      <c r="K23" s="312"/>
      <c r="L23" s="313"/>
    </row>
    <row r="24" spans="1:20" ht="26" customHeight="1">
      <c r="A24" s="308"/>
      <c r="B24" s="309"/>
      <c r="C24" s="308"/>
      <c r="D24" s="308"/>
      <c r="E24" s="310"/>
      <c r="F24" s="308"/>
      <c r="G24" s="308"/>
      <c r="H24" s="311"/>
      <c r="I24" s="308"/>
      <c r="K24" s="312"/>
      <c r="L24" s="313"/>
    </row>
    <row r="25" spans="1:20" ht="26" customHeight="1">
      <c r="A25" s="308"/>
      <c r="B25" s="309"/>
      <c r="C25" s="308"/>
      <c r="D25" s="308"/>
      <c r="E25" s="310"/>
      <c r="F25" s="308"/>
      <c r="G25" s="308"/>
      <c r="H25" s="311"/>
      <c r="I25" s="308"/>
      <c r="K25" s="312"/>
      <c r="L25" s="313"/>
    </row>
    <row r="26" spans="1:20" ht="26" customHeight="1">
      <c r="A26" s="308"/>
      <c r="B26" s="309"/>
      <c r="C26" s="308"/>
      <c r="D26" s="308"/>
      <c r="E26" s="310"/>
      <c r="F26" s="308"/>
      <c r="G26" s="308"/>
      <c r="H26" s="311"/>
      <c r="I26" s="308"/>
      <c r="K26" s="314"/>
      <c r="L26" s="315"/>
    </row>
    <row r="27" spans="1:20" ht="26" customHeight="1">
      <c r="A27" s="308"/>
      <c r="B27" s="309"/>
      <c r="C27" s="308"/>
      <c r="D27" s="308"/>
      <c r="E27" s="310"/>
      <c r="F27" s="308"/>
      <c r="G27" s="308"/>
      <c r="H27" s="311"/>
      <c r="I27" s="308"/>
      <c r="K27" s="316"/>
      <c r="L27" s="316"/>
    </row>
    <row r="28" spans="1:20" ht="26" customHeight="1">
      <c r="A28" s="308"/>
      <c r="B28" s="309"/>
      <c r="C28" s="308"/>
      <c r="D28" s="308"/>
      <c r="E28" s="310"/>
      <c r="F28" s="308"/>
      <c r="G28" s="308"/>
      <c r="H28" s="311"/>
      <c r="I28" s="308"/>
      <c r="K28" s="316"/>
      <c r="L28" s="316"/>
    </row>
    <row r="29" spans="1:20" ht="26" customHeight="1">
      <c r="A29" s="308"/>
      <c r="B29" s="309"/>
      <c r="C29" s="308"/>
      <c r="D29" s="308"/>
      <c r="E29" s="310"/>
      <c r="F29" s="308"/>
      <c r="G29" s="308"/>
      <c r="H29" s="311"/>
      <c r="I29" s="308"/>
      <c r="K29" s="316"/>
      <c r="L29" s="316"/>
    </row>
    <row r="30" spans="1:20" ht="26" customHeight="1">
      <c r="A30" s="308"/>
      <c r="B30" s="309"/>
      <c r="C30" s="308"/>
      <c r="D30" s="308"/>
      <c r="E30" s="310"/>
      <c r="F30" s="308"/>
      <c r="G30" s="308"/>
      <c r="H30" s="311"/>
      <c r="I30" s="308"/>
      <c r="K30" s="316"/>
      <c r="L30" s="316"/>
    </row>
    <row r="31" spans="1:20" ht="26" customHeight="1">
      <c r="A31" s="308"/>
      <c r="B31" s="309"/>
      <c r="C31" s="308"/>
      <c r="D31" s="308"/>
      <c r="E31" s="310"/>
      <c r="F31" s="308"/>
      <c r="G31" s="308"/>
      <c r="H31" s="311"/>
      <c r="I31" s="308"/>
      <c r="K31" s="316"/>
      <c r="L31" s="316"/>
    </row>
    <row r="32" spans="1:20" ht="26" customHeight="1">
      <c r="A32" s="308"/>
      <c r="B32" s="309"/>
      <c r="C32" s="308"/>
      <c r="D32" s="308"/>
      <c r="E32" s="310"/>
      <c r="F32" s="308"/>
      <c r="G32" s="308"/>
      <c r="H32" s="311"/>
      <c r="I32" s="308"/>
      <c r="K32" s="316"/>
      <c r="L32" s="316"/>
    </row>
    <row r="33" spans="1:12" ht="26" customHeight="1">
      <c r="A33" s="308"/>
      <c r="B33" s="309"/>
      <c r="C33" s="308"/>
      <c r="D33" s="308"/>
      <c r="E33" s="310"/>
      <c r="F33" s="308"/>
      <c r="G33" s="308"/>
      <c r="H33" s="311"/>
      <c r="I33" s="308"/>
      <c r="K33" s="316"/>
      <c r="L33" s="316"/>
    </row>
    <row r="34" spans="1:12" ht="26" customHeight="1">
      <c r="A34" s="308"/>
      <c r="B34" s="309"/>
      <c r="C34" s="308"/>
      <c r="D34" s="308"/>
      <c r="E34" s="310"/>
      <c r="F34" s="308"/>
      <c r="G34" s="308"/>
      <c r="H34" s="311"/>
      <c r="I34" s="308"/>
      <c r="K34" s="316"/>
      <c r="L34" s="316"/>
    </row>
    <row r="35" spans="1:12" ht="26" customHeight="1">
      <c r="A35" s="308"/>
      <c r="B35" s="309"/>
      <c r="C35" s="308"/>
      <c r="D35" s="308"/>
      <c r="E35" s="310"/>
      <c r="F35" s="308"/>
      <c r="G35" s="308"/>
      <c r="H35" s="311"/>
      <c r="I35" s="308"/>
      <c r="K35" s="316"/>
      <c r="L35" s="316"/>
    </row>
    <row r="36" spans="1:12" ht="26" customHeight="1">
      <c r="A36" s="308"/>
      <c r="B36" s="309"/>
      <c r="C36" s="308"/>
      <c r="D36" s="308"/>
      <c r="E36" s="310"/>
      <c r="F36" s="308"/>
      <c r="G36" s="308"/>
      <c r="H36" s="311"/>
      <c r="I36" s="308"/>
      <c r="K36" s="316"/>
      <c r="L36" s="316"/>
    </row>
    <row r="37" spans="1:12" ht="26" customHeight="1">
      <c r="A37" s="308"/>
      <c r="B37" s="309"/>
      <c r="C37" s="308"/>
      <c r="D37" s="308"/>
      <c r="E37" s="310"/>
      <c r="F37" s="308"/>
      <c r="G37" s="308"/>
      <c r="H37" s="311"/>
      <c r="I37" s="308"/>
      <c r="K37" s="316"/>
      <c r="L37" s="316"/>
    </row>
    <row r="38" spans="1:12" ht="26" customHeight="1">
      <c r="A38" s="308"/>
      <c r="B38" s="309"/>
      <c r="C38" s="308"/>
      <c r="D38" s="308"/>
      <c r="E38" s="310"/>
      <c r="F38" s="308"/>
      <c r="G38" s="308"/>
      <c r="H38" s="311"/>
      <c r="I38" s="308"/>
      <c r="K38" s="316"/>
      <c r="L38" s="316"/>
    </row>
    <row r="39" spans="1:12" ht="26" customHeight="1">
      <c r="A39" s="308"/>
      <c r="B39" s="309"/>
      <c r="C39" s="308"/>
      <c r="D39" s="308"/>
      <c r="E39" s="310"/>
      <c r="F39" s="308"/>
      <c r="G39" s="308"/>
      <c r="H39" s="311"/>
      <c r="I39" s="308"/>
      <c r="K39" s="316"/>
      <c r="L39" s="316"/>
    </row>
    <row r="40" spans="1:12" ht="26" customHeight="1">
      <c r="A40" s="308"/>
      <c r="B40" s="309"/>
      <c r="C40" s="308"/>
      <c r="D40" s="308"/>
      <c r="E40" s="310"/>
      <c r="F40" s="308"/>
      <c r="G40" s="308"/>
      <c r="H40" s="311"/>
      <c r="I40" s="308"/>
      <c r="K40" s="316"/>
      <c r="L40" s="316"/>
    </row>
    <row r="41" spans="1:12" ht="26" customHeight="1">
      <c r="A41" s="308"/>
      <c r="B41" s="309"/>
      <c r="C41" s="308"/>
      <c r="D41" s="308"/>
      <c r="E41" s="310"/>
      <c r="F41" s="308"/>
      <c r="G41" s="308"/>
      <c r="H41" s="311"/>
      <c r="I41" s="308"/>
      <c r="K41" s="316"/>
      <c r="L41" s="316"/>
    </row>
    <row r="42" spans="1:12" ht="26" customHeight="1">
      <c r="A42" s="308"/>
      <c r="B42" s="309"/>
      <c r="C42" s="308"/>
      <c r="D42" s="308"/>
      <c r="E42" s="310"/>
      <c r="F42" s="308"/>
      <c r="G42" s="308"/>
      <c r="H42" s="311"/>
      <c r="I42" s="308"/>
      <c r="K42" s="316"/>
      <c r="L42" s="316"/>
    </row>
    <row r="43" spans="1:12" ht="26" customHeight="1">
      <c r="A43" s="308"/>
      <c r="B43" s="309"/>
      <c r="C43" s="308"/>
      <c r="D43" s="308"/>
      <c r="E43" s="310"/>
      <c r="F43" s="308"/>
      <c r="G43" s="308"/>
      <c r="H43" s="311"/>
      <c r="I43" s="308"/>
      <c r="K43" s="316"/>
      <c r="L43" s="316"/>
    </row>
    <row r="44" spans="1:12" ht="26" customHeight="1">
      <c r="A44" s="308"/>
      <c r="B44" s="309"/>
      <c r="C44" s="308"/>
      <c r="D44" s="308"/>
      <c r="E44" s="310"/>
      <c r="F44" s="308"/>
      <c r="G44" s="308"/>
      <c r="H44" s="311"/>
      <c r="I44" s="308"/>
      <c r="K44" s="316"/>
      <c r="L44" s="316"/>
    </row>
    <row r="45" spans="1:12" ht="26" customHeight="1">
      <c r="A45" s="308"/>
      <c r="B45" s="309"/>
      <c r="C45" s="308"/>
      <c r="D45" s="308"/>
      <c r="E45" s="310"/>
      <c r="F45" s="308"/>
      <c r="G45" s="308"/>
      <c r="H45" s="311"/>
      <c r="I45" s="308"/>
      <c r="K45" s="316"/>
      <c r="L45" s="316"/>
    </row>
    <row r="46" spans="1:12" ht="26" customHeight="1">
      <c r="A46" s="308"/>
      <c r="B46" s="309"/>
      <c r="C46" s="308"/>
      <c r="D46" s="308"/>
      <c r="E46" s="310"/>
      <c r="F46" s="308"/>
      <c r="G46" s="308"/>
      <c r="H46" s="311"/>
      <c r="I46" s="308"/>
      <c r="K46" s="316"/>
      <c r="L46" s="316"/>
    </row>
    <row r="47" spans="1:12" ht="26" customHeight="1">
      <c r="A47" s="308"/>
      <c r="B47" s="309"/>
      <c r="C47" s="308"/>
      <c r="D47" s="308"/>
      <c r="E47" s="310"/>
      <c r="F47" s="308"/>
      <c r="G47" s="308"/>
      <c r="H47" s="311"/>
      <c r="I47" s="308"/>
    </row>
    <row r="48" spans="1:12" ht="26" customHeight="1">
      <c r="A48" s="308"/>
      <c r="B48" s="309"/>
      <c r="C48" s="308"/>
      <c r="D48" s="308"/>
      <c r="E48" s="310"/>
      <c r="F48" s="308"/>
      <c r="G48" s="308"/>
      <c r="H48" s="311"/>
      <c r="I48" s="308"/>
    </row>
    <row r="49" spans="1:9" ht="26" customHeight="1">
      <c r="A49" s="308"/>
      <c r="B49" s="309"/>
      <c r="C49" s="308"/>
      <c r="D49" s="308"/>
      <c r="E49" s="310"/>
      <c r="F49" s="308"/>
      <c r="G49" s="308"/>
      <c r="H49" s="311"/>
      <c r="I49" s="308"/>
    </row>
    <row r="50" spans="1:9" ht="26" customHeight="1">
      <c r="A50" s="308"/>
      <c r="B50" s="309"/>
      <c r="C50" s="308"/>
      <c r="D50" s="308"/>
      <c r="E50" s="310"/>
      <c r="F50" s="308"/>
      <c r="G50" s="308"/>
      <c r="H50" s="311"/>
      <c r="I50" s="308"/>
    </row>
    <row r="51" spans="1:9" ht="26" customHeight="1">
      <c r="A51" s="308"/>
      <c r="B51" s="309"/>
      <c r="C51" s="308"/>
      <c r="D51" s="308"/>
      <c r="E51" s="310"/>
      <c r="F51" s="308"/>
      <c r="G51" s="308"/>
      <c r="H51" s="311"/>
      <c r="I51" s="308"/>
    </row>
    <row r="52" spans="1:9" ht="26" customHeight="1">
      <c r="A52" s="308"/>
      <c r="B52" s="309"/>
      <c r="C52" s="308"/>
      <c r="D52" s="308"/>
      <c r="E52" s="310"/>
      <c r="F52" s="308"/>
      <c r="G52" s="308"/>
      <c r="H52" s="311"/>
      <c r="I52" s="308"/>
    </row>
    <row r="53" spans="1:9" ht="26" customHeight="1">
      <c r="A53" s="308"/>
      <c r="B53" s="309"/>
      <c r="C53" s="308"/>
      <c r="D53" s="308"/>
      <c r="E53" s="310"/>
      <c r="F53" s="308"/>
      <c r="G53" s="308"/>
      <c r="H53" s="311"/>
      <c r="I53" s="308"/>
    </row>
    <row r="54" spans="1:9" ht="26" customHeight="1">
      <c r="A54" s="308"/>
      <c r="B54" s="309"/>
      <c r="C54" s="308"/>
      <c r="D54" s="308"/>
      <c r="E54" s="310"/>
      <c r="F54" s="308"/>
      <c r="G54" s="308"/>
      <c r="H54" s="311"/>
      <c r="I54" s="308"/>
    </row>
    <row r="55" spans="1:9" ht="26" customHeight="1">
      <c r="A55" s="308"/>
      <c r="B55" s="309"/>
      <c r="C55" s="308"/>
      <c r="D55" s="308"/>
      <c r="E55" s="310"/>
      <c r="F55" s="308"/>
      <c r="G55" s="308"/>
      <c r="H55" s="311"/>
      <c r="I55" s="308"/>
    </row>
    <row r="56" spans="1:9" ht="26" customHeight="1">
      <c r="A56" s="308"/>
      <c r="B56" s="309"/>
      <c r="C56" s="308"/>
      <c r="D56" s="308"/>
      <c r="E56" s="310"/>
      <c r="F56" s="308"/>
      <c r="G56" s="308"/>
      <c r="H56" s="311"/>
      <c r="I56" s="308"/>
    </row>
    <row r="57" spans="1:9" ht="26" customHeight="1">
      <c r="A57" s="308"/>
      <c r="B57" s="309"/>
      <c r="C57" s="308"/>
      <c r="D57" s="308"/>
      <c r="E57" s="310"/>
      <c r="F57" s="308"/>
      <c r="G57" s="308"/>
      <c r="H57" s="311"/>
      <c r="I57" s="308"/>
    </row>
    <row r="58" spans="1:9" ht="26" customHeight="1">
      <c r="A58" s="308"/>
      <c r="B58" s="309"/>
      <c r="C58" s="308"/>
      <c r="D58" s="308"/>
      <c r="E58" s="310"/>
      <c r="F58" s="308"/>
      <c r="G58" s="308"/>
      <c r="H58" s="311"/>
      <c r="I58" s="308"/>
    </row>
    <row r="59" spans="1:9" ht="26" customHeight="1">
      <c r="A59" s="308"/>
      <c r="B59" s="309"/>
      <c r="C59" s="308"/>
      <c r="D59" s="308"/>
      <c r="E59" s="310"/>
      <c r="F59" s="308"/>
      <c r="G59" s="308"/>
      <c r="H59" s="311"/>
      <c r="I59" s="308"/>
    </row>
    <row r="60" spans="1:9" ht="26" customHeight="1">
      <c r="A60" s="308"/>
      <c r="B60" s="309"/>
      <c r="C60" s="308"/>
      <c r="D60" s="308"/>
      <c r="E60" s="310"/>
      <c r="F60" s="308"/>
      <c r="G60" s="308"/>
      <c r="H60" s="311"/>
      <c r="I60" s="308"/>
    </row>
    <row r="61" spans="1:9" ht="26" customHeight="1">
      <c r="A61" s="308"/>
      <c r="B61" s="309"/>
      <c r="C61" s="308"/>
      <c r="D61" s="308"/>
      <c r="E61" s="310"/>
      <c r="F61" s="308"/>
      <c r="G61" s="308"/>
      <c r="H61" s="311"/>
      <c r="I61" s="308"/>
    </row>
    <row r="62" spans="1:9" ht="26" customHeight="1">
      <c r="A62" s="308"/>
      <c r="B62" s="309"/>
      <c r="C62" s="308"/>
      <c r="D62" s="308"/>
      <c r="E62" s="310"/>
      <c r="F62" s="308"/>
      <c r="G62" s="308"/>
      <c r="H62" s="311"/>
      <c r="I62" s="308"/>
    </row>
    <row r="63" spans="1:9" ht="26" customHeight="1">
      <c r="A63" s="308"/>
      <c r="B63" s="309"/>
      <c r="C63" s="308"/>
      <c r="D63" s="308"/>
      <c r="E63" s="310"/>
      <c r="F63" s="308"/>
      <c r="G63" s="308"/>
      <c r="H63" s="311"/>
      <c r="I63" s="308"/>
    </row>
    <row r="64" spans="1:9" ht="26" customHeight="1">
      <c r="A64" s="308"/>
      <c r="B64" s="309"/>
      <c r="C64" s="308"/>
      <c r="D64" s="308"/>
      <c r="E64" s="310"/>
      <c r="F64" s="308"/>
      <c r="G64" s="308"/>
      <c r="H64" s="311"/>
      <c r="I64" s="308"/>
    </row>
    <row r="65" spans="1:9" ht="26" customHeight="1">
      <c r="A65" s="308"/>
      <c r="B65" s="309"/>
      <c r="C65" s="308"/>
      <c r="D65" s="308"/>
      <c r="E65" s="310"/>
      <c r="F65" s="308"/>
      <c r="G65" s="308"/>
      <c r="H65" s="311"/>
      <c r="I65" s="308"/>
    </row>
    <row r="66" spans="1:9" ht="26" customHeight="1">
      <c r="A66" s="308"/>
      <c r="B66" s="309"/>
      <c r="C66" s="308"/>
      <c r="D66" s="308"/>
      <c r="E66" s="310"/>
      <c r="F66" s="308"/>
      <c r="G66" s="308"/>
      <c r="H66" s="311"/>
      <c r="I66" s="308"/>
    </row>
    <row r="67" spans="1:9" ht="26" customHeight="1">
      <c r="A67" s="308"/>
      <c r="B67" s="309"/>
      <c r="C67" s="308"/>
      <c r="D67" s="308"/>
      <c r="E67" s="310"/>
      <c r="F67" s="308"/>
      <c r="G67" s="308"/>
      <c r="H67" s="311"/>
      <c r="I67" s="308"/>
    </row>
    <row r="68" spans="1:9" ht="26" customHeight="1">
      <c r="A68" s="308"/>
      <c r="B68" s="309"/>
      <c r="C68" s="308"/>
      <c r="D68" s="308"/>
      <c r="E68" s="310"/>
      <c r="F68" s="308"/>
      <c r="G68" s="308"/>
      <c r="H68" s="311"/>
      <c r="I68" s="308"/>
    </row>
    <row r="69" spans="1:9" ht="26" customHeight="1">
      <c r="A69" s="308"/>
      <c r="B69" s="309"/>
      <c r="C69" s="308"/>
      <c r="D69" s="308"/>
      <c r="E69" s="310"/>
      <c r="F69" s="308"/>
      <c r="G69" s="308"/>
      <c r="H69" s="311"/>
      <c r="I69" s="308"/>
    </row>
    <row r="70" spans="1:9" ht="26" customHeight="1">
      <c r="A70" s="308"/>
      <c r="B70" s="309"/>
      <c r="C70" s="308"/>
      <c r="D70" s="308"/>
      <c r="E70" s="310"/>
      <c r="F70" s="308"/>
      <c r="G70" s="308"/>
      <c r="H70" s="311"/>
      <c r="I70" s="308"/>
    </row>
    <row r="71" spans="1:9" ht="26" customHeight="1">
      <c r="A71" s="308"/>
      <c r="B71" s="309"/>
      <c r="C71" s="308"/>
      <c r="D71" s="308"/>
      <c r="E71" s="310"/>
      <c r="F71" s="308"/>
      <c r="G71" s="308"/>
      <c r="H71" s="311"/>
      <c r="I71" s="308"/>
    </row>
    <row r="72" spans="1:9" ht="26" customHeight="1">
      <c r="A72" s="308"/>
      <c r="B72" s="309"/>
      <c r="C72" s="308"/>
      <c r="D72" s="308"/>
      <c r="E72" s="310"/>
      <c r="F72" s="308"/>
      <c r="G72" s="308"/>
      <c r="H72" s="311"/>
      <c r="I72" s="308"/>
    </row>
    <row r="73" spans="1:9" ht="26" customHeight="1">
      <c r="A73" s="308"/>
      <c r="B73" s="309"/>
      <c r="C73" s="308"/>
      <c r="D73" s="308"/>
      <c r="E73" s="310"/>
      <c r="F73" s="308"/>
      <c r="G73" s="308"/>
      <c r="H73" s="311"/>
      <c r="I73" s="308"/>
    </row>
    <row r="74" spans="1:9" ht="26" customHeight="1">
      <c r="A74" s="308"/>
      <c r="B74" s="309"/>
      <c r="C74" s="308"/>
      <c r="D74" s="308"/>
      <c r="E74" s="310"/>
      <c r="F74" s="308"/>
      <c r="G74" s="308"/>
      <c r="H74" s="311"/>
      <c r="I74" s="308"/>
    </row>
    <row r="75" spans="1:9" ht="26" customHeight="1">
      <c r="A75" s="308"/>
      <c r="B75" s="309"/>
      <c r="C75" s="308"/>
      <c r="D75" s="308"/>
      <c r="E75" s="310"/>
      <c r="F75" s="308"/>
      <c r="G75" s="308"/>
      <c r="H75" s="311"/>
      <c r="I75" s="308"/>
    </row>
    <row r="76" spans="1:9" ht="26" customHeight="1">
      <c r="A76" s="308"/>
      <c r="B76" s="309"/>
      <c r="C76" s="308"/>
      <c r="D76" s="308"/>
      <c r="E76" s="310"/>
      <c r="F76" s="308"/>
      <c r="G76" s="308"/>
      <c r="H76" s="311"/>
      <c r="I76" s="308"/>
    </row>
    <row r="77" spans="1:9" ht="26" customHeight="1">
      <c r="A77" s="308"/>
      <c r="B77" s="309"/>
      <c r="C77" s="308"/>
      <c r="D77" s="308"/>
      <c r="E77" s="310"/>
      <c r="F77" s="308"/>
      <c r="G77" s="308"/>
      <c r="H77" s="311"/>
      <c r="I77" s="308"/>
    </row>
    <row r="78" spans="1:9" ht="26" customHeight="1">
      <c r="A78" s="308"/>
      <c r="B78" s="309"/>
      <c r="C78" s="308"/>
      <c r="D78" s="308"/>
      <c r="E78" s="310"/>
      <c r="F78" s="308"/>
      <c r="G78" s="308"/>
      <c r="H78" s="311"/>
      <c r="I78" s="308"/>
    </row>
    <row r="79" spans="1:9" ht="26" customHeight="1">
      <c r="A79" s="308"/>
      <c r="B79" s="309"/>
      <c r="C79" s="308"/>
      <c r="D79" s="308"/>
      <c r="E79" s="310"/>
      <c r="F79" s="308"/>
      <c r="G79" s="308"/>
      <c r="H79" s="311"/>
      <c r="I79" s="308"/>
    </row>
    <row r="80" spans="1:9" ht="26" customHeight="1">
      <c r="A80" s="308"/>
      <c r="B80" s="309"/>
      <c r="C80" s="308"/>
      <c r="D80" s="308"/>
      <c r="E80" s="310"/>
      <c r="F80" s="308"/>
      <c r="G80" s="308"/>
      <c r="H80" s="311"/>
      <c r="I80" s="308"/>
    </row>
    <row r="81" spans="1:9" ht="26" customHeight="1">
      <c r="A81" s="308"/>
      <c r="B81" s="309"/>
      <c r="C81" s="308"/>
      <c r="D81" s="308"/>
      <c r="E81" s="310"/>
      <c r="F81" s="308"/>
      <c r="G81" s="308"/>
      <c r="H81" s="311"/>
      <c r="I81" s="308"/>
    </row>
    <row r="82" spans="1:9" ht="26" customHeight="1">
      <c r="A82" s="308"/>
      <c r="B82" s="309"/>
      <c r="C82" s="308"/>
      <c r="D82" s="308"/>
      <c r="E82" s="310"/>
      <c r="F82" s="308"/>
      <c r="G82" s="308"/>
      <c r="H82" s="311"/>
      <c r="I82" s="308"/>
    </row>
    <row r="83" spans="1:9" ht="26" customHeight="1">
      <c r="A83" s="308"/>
      <c r="B83" s="309"/>
      <c r="C83" s="308"/>
      <c r="D83" s="308"/>
      <c r="E83" s="310"/>
      <c r="F83" s="308"/>
      <c r="G83" s="308"/>
      <c r="H83" s="311"/>
      <c r="I83" s="308"/>
    </row>
    <row r="84" spans="1:9" ht="26" customHeight="1">
      <c r="A84" s="308"/>
      <c r="B84" s="309"/>
      <c r="C84" s="308"/>
      <c r="D84" s="308"/>
      <c r="E84" s="310"/>
      <c r="F84" s="308"/>
      <c r="G84" s="308"/>
      <c r="H84" s="311"/>
      <c r="I84" s="308"/>
    </row>
    <row r="85" spans="1:9" ht="26" customHeight="1">
      <c r="A85" s="308"/>
      <c r="B85" s="309"/>
      <c r="C85" s="308"/>
      <c r="D85" s="308"/>
      <c r="E85" s="310"/>
      <c r="F85" s="308"/>
      <c r="G85" s="308"/>
      <c r="H85" s="311"/>
      <c r="I85" s="308"/>
    </row>
    <row r="86" spans="1:9" ht="26" customHeight="1">
      <c r="A86" s="308"/>
      <c r="B86" s="309"/>
      <c r="C86" s="308"/>
      <c r="D86" s="308"/>
      <c r="E86" s="310"/>
      <c r="F86" s="308"/>
      <c r="G86" s="308"/>
      <c r="H86" s="311"/>
      <c r="I86" s="308"/>
    </row>
    <row r="87" spans="1:9" ht="26" customHeight="1">
      <c r="A87" s="308"/>
      <c r="B87" s="309"/>
      <c r="C87" s="308"/>
      <c r="D87" s="308"/>
      <c r="E87" s="310"/>
      <c r="F87" s="308"/>
      <c r="G87" s="308"/>
      <c r="H87" s="311"/>
      <c r="I87" s="308"/>
    </row>
    <row r="88" spans="1:9" ht="26" customHeight="1">
      <c r="A88" s="308"/>
      <c r="B88" s="309"/>
      <c r="C88" s="308"/>
      <c r="D88" s="308"/>
      <c r="E88" s="310"/>
      <c r="F88" s="308"/>
      <c r="G88" s="308"/>
      <c r="H88" s="311"/>
      <c r="I88" s="308"/>
    </row>
    <row r="89" spans="1:9" ht="26" customHeight="1">
      <c r="A89" s="308"/>
      <c r="B89" s="309"/>
      <c r="C89" s="308"/>
      <c r="D89" s="308"/>
      <c r="E89" s="310"/>
      <c r="F89" s="308"/>
      <c r="G89" s="308"/>
      <c r="H89" s="311"/>
      <c r="I89" s="308"/>
    </row>
    <row r="90" spans="1:9" ht="26" customHeight="1">
      <c r="A90" s="308"/>
      <c r="B90" s="309"/>
      <c r="C90" s="308"/>
      <c r="D90" s="308"/>
      <c r="E90" s="310"/>
      <c r="F90" s="308"/>
      <c r="G90" s="308"/>
      <c r="H90" s="311"/>
      <c r="I90" s="308"/>
    </row>
    <row r="91" spans="1:9" ht="26" customHeight="1">
      <c r="A91" s="308"/>
      <c r="B91" s="309"/>
      <c r="C91" s="308"/>
      <c r="D91" s="308"/>
      <c r="E91" s="310"/>
      <c r="F91" s="308"/>
      <c r="G91" s="308"/>
      <c r="H91" s="311"/>
      <c r="I91" s="308"/>
    </row>
    <row r="92" spans="1:9" ht="26" customHeight="1">
      <c r="A92" s="308"/>
      <c r="B92" s="309"/>
      <c r="C92" s="308"/>
      <c r="D92" s="308"/>
      <c r="E92" s="310"/>
      <c r="F92" s="308"/>
      <c r="G92" s="308"/>
      <c r="H92" s="311"/>
      <c r="I92" s="308"/>
    </row>
    <row r="93" spans="1:9" ht="26" customHeight="1">
      <c r="A93" s="308"/>
      <c r="B93" s="309"/>
      <c r="C93" s="308"/>
      <c r="D93" s="308"/>
      <c r="E93" s="310"/>
      <c r="F93" s="308"/>
      <c r="G93" s="308"/>
      <c r="H93" s="311"/>
      <c r="I93" s="308"/>
    </row>
    <row r="94" spans="1:9" ht="26" customHeight="1">
      <c r="A94" s="308"/>
      <c r="B94" s="309"/>
      <c r="C94" s="308"/>
      <c r="D94" s="308"/>
      <c r="E94" s="310"/>
      <c r="F94" s="308"/>
      <c r="G94" s="308"/>
      <c r="H94" s="311"/>
      <c r="I94" s="308"/>
    </row>
    <row r="95" spans="1:9" ht="26" customHeight="1">
      <c r="A95" s="308"/>
      <c r="B95" s="309"/>
      <c r="C95" s="308"/>
      <c r="D95" s="308"/>
      <c r="E95" s="310"/>
      <c r="F95" s="308"/>
      <c r="G95" s="308"/>
      <c r="H95" s="311"/>
      <c r="I95" s="308"/>
    </row>
    <row r="96" spans="1:9" ht="26" customHeight="1">
      <c r="A96" s="308"/>
      <c r="B96" s="309"/>
      <c r="C96" s="308"/>
      <c r="D96" s="308"/>
      <c r="E96" s="310"/>
      <c r="F96" s="308"/>
      <c r="G96" s="308"/>
      <c r="H96" s="311"/>
      <c r="I96" s="308"/>
    </row>
    <row r="97" spans="1:9" ht="26" customHeight="1">
      <c r="A97" s="308"/>
      <c r="B97" s="309"/>
      <c r="C97" s="308"/>
      <c r="D97" s="308"/>
      <c r="E97" s="310"/>
      <c r="F97" s="308"/>
      <c r="G97" s="308"/>
      <c r="H97" s="311"/>
      <c r="I97" s="308"/>
    </row>
    <row r="98" spans="1:9" ht="26" customHeight="1">
      <c r="A98" s="308"/>
      <c r="B98" s="309"/>
      <c r="C98" s="308"/>
      <c r="D98" s="308"/>
      <c r="E98" s="310"/>
      <c r="F98" s="308"/>
      <c r="G98" s="308"/>
      <c r="H98" s="311"/>
      <c r="I98" s="308"/>
    </row>
    <row r="99" spans="1:9" ht="26" customHeight="1">
      <c r="A99" s="308"/>
      <c r="B99" s="309"/>
      <c r="C99" s="308"/>
      <c r="D99" s="308"/>
      <c r="E99" s="310"/>
      <c r="F99" s="308"/>
      <c r="G99" s="308"/>
      <c r="H99" s="311"/>
      <c r="I99" s="308"/>
    </row>
    <row r="100" spans="1:9" ht="26" customHeight="1">
      <c r="A100" s="308"/>
      <c r="B100" s="309"/>
      <c r="C100" s="308"/>
      <c r="D100" s="308"/>
      <c r="E100" s="310"/>
      <c r="F100" s="308"/>
      <c r="G100" s="308"/>
      <c r="H100" s="311"/>
      <c r="I100" s="308"/>
    </row>
    <row r="101" spans="1:9" ht="26" customHeight="1">
      <c r="A101" s="308"/>
      <c r="B101" s="309"/>
      <c r="C101" s="308"/>
      <c r="D101" s="308"/>
      <c r="E101" s="310"/>
      <c r="F101" s="308"/>
      <c r="G101" s="308"/>
      <c r="H101" s="311"/>
      <c r="I101" s="308"/>
    </row>
    <row r="102" spans="1:9" ht="26" customHeight="1">
      <c r="A102" s="308"/>
      <c r="B102" s="309"/>
      <c r="C102" s="308"/>
      <c r="D102" s="308"/>
      <c r="E102" s="310"/>
      <c r="F102" s="308"/>
      <c r="G102" s="308"/>
      <c r="H102" s="311"/>
      <c r="I102" s="308"/>
    </row>
    <row r="103" spans="1:9" ht="26" customHeight="1">
      <c r="A103" s="308"/>
      <c r="B103" s="309"/>
      <c r="C103" s="308"/>
      <c r="D103" s="308"/>
      <c r="E103" s="310"/>
      <c r="F103" s="308"/>
      <c r="G103" s="308"/>
      <c r="H103" s="311"/>
      <c r="I103" s="308"/>
    </row>
    <row r="104" spans="1:9" ht="26" customHeight="1">
      <c r="A104" s="308"/>
      <c r="B104" s="309"/>
      <c r="C104" s="308"/>
      <c r="D104" s="308"/>
      <c r="E104" s="310"/>
      <c r="F104" s="308"/>
      <c r="G104" s="308"/>
      <c r="H104" s="311"/>
      <c r="I104" s="308"/>
    </row>
    <row r="105" spans="1:9" ht="26" customHeight="1">
      <c r="A105" s="308"/>
      <c r="B105" s="309"/>
      <c r="C105" s="308"/>
      <c r="D105" s="308"/>
      <c r="E105" s="310"/>
      <c r="F105" s="308"/>
      <c r="G105" s="308"/>
      <c r="H105" s="311"/>
      <c r="I105" s="308"/>
    </row>
    <row r="106" spans="1:9" ht="26" customHeight="1">
      <c r="A106" s="308"/>
      <c r="B106" s="309"/>
      <c r="C106" s="308"/>
      <c r="D106" s="308"/>
      <c r="E106" s="310"/>
      <c r="F106" s="308"/>
      <c r="G106" s="308"/>
      <c r="H106" s="311"/>
      <c r="I106" s="308"/>
    </row>
    <row r="107" spans="1:9" ht="26" customHeight="1">
      <c r="A107" s="308"/>
      <c r="B107" s="309"/>
      <c r="C107" s="308"/>
      <c r="D107" s="308"/>
      <c r="E107" s="310"/>
      <c r="F107" s="308"/>
      <c r="G107" s="308"/>
      <c r="H107" s="311"/>
      <c r="I107" s="308"/>
    </row>
    <row r="108" spans="1:9" ht="26" customHeight="1">
      <c r="A108" s="308"/>
      <c r="B108" s="309"/>
      <c r="C108" s="308"/>
      <c r="D108" s="308"/>
      <c r="E108" s="310"/>
      <c r="F108" s="308"/>
      <c r="G108" s="308"/>
      <c r="H108" s="311"/>
      <c r="I108" s="308"/>
    </row>
    <row r="109" spans="1:9" ht="26" customHeight="1">
      <c r="A109" s="308"/>
      <c r="B109" s="309"/>
      <c r="C109" s="308"/>
      <c r="D109" s="308"/>
      <c r="E109" s="310"/>
      <c r="F109" s="308"/>
      <c r="G109" s="308"/>
      <c r="H109" s="311"/>
      <c r="I109" s="308"/>
    </row>
    <row r="110" spans="1:9" ht="26" customHeight="1">
      <c r="A110" s="308"/>
      <c r="B110" s="309"/>
      <c r="C110" s="308"/>
      <c r="D110" s="308"/>
      <c r="E110" s="310"/>
      <c r="F110" s="308"/>
      <c r="G110" s="308"/>
      <c r="H110" s="311"/>
      <c r="I110" s="308"/>
    </row>
    <row r="111" spans="1:9" ht="26" customHeight="1">
      <c r="A111" s="308"/>
      <c r="B111" s="309"/>
      <c r="C111" s="308"/>
      <c r="D111" s="308"/>
      <c r="E111" s="310"/>
      <c r="F111" s="308"/>
      <c r="G111" s="308"/>
      <c r="H111" s="311"/>
      <c r="I111" s="308"/>
    </row>
    <row r="112" spans="1:9" ht="26" customHeight="1">
      <c r="A112" s="308"/>
      <c r="B112" s="309"/>
      <c r="C112" s="308"/>
      <c r="D112" s="308"/>
      <c r="E112" s="310"/>
      <c r="F112" s="308"/>
      <c r="G112" s="308"/>
      <c r="H112" s="311"/>
      <c r="I112" s="308"/>
    </row>
    <row r="113" spans="1:9" ht="26" customHeight="1">
      <c r="A113" s="308"/>
      <c r="B113" s="309"/>
      <c r="C113" s="308"/>
      <c r="D113" s="308"/>
      <c r="E113" s="310"/>
      <c r="F113" s="308"/>
      <c r="G113" s="308"/>
      <c r="H113" s="311"/>
      <c r="I113" s="308"/>
    </row>
    <row r="114" spans="1:9" ht="26" customHeight="1">
      <c r="A114" s="308"/>
      <c r="B114" s="309"/>
      <c r="C114" s="308"/>
      <c r="D114" s="308"/>
      <c r="E114" s="310"/>
      <c r="F114" s="308"/>
      <c r="G114" s="308"/>
      <c r="H114" s="311"/>
      <c r="I114" s="308"/>
    </row>
    <row r="115" spans="1:9" ht="26" customHeight="1">
      <c r="A115" s="308"/>
      <c r="B115" s="309"/>
      <c r="C115" s="308"/>
      <c r="D115" s="308"/>
      <c r="E115" s="310"/>
      <c r="F115" s="308"/>
      <c r="G115" s="308"/>
      <c r="H115" s="311"/>
      <c r="I115" s="308"/>
    </row>
    <row r="116" spans="1:9" ht="26" customHeight="1">
      <c r="A116" s="308"/>
      <c r="B116" s="309"/>
      <c r="C116" s="308"/>
      <c r="D116" s="308"/>
      <c r="E116" s="310"/>
      <c r="F116" s="308"/>
      <c r="G116" s="308"/>
      <c r="H116" s="311"/>
      <c r="I116" s="308"/>
    </row>
    <row r="117" spans="1:9" ht="26" customHeight="1">
      <c r="A117" s="308"/>
      <c r="B117" s="309"/>
      <c r="C117" s="308"/>
      <c r="D117" s="308"/>
      <c r="E117" s="310"/>
      <c r="F117" s="308"/>
      <c r="G117" s="308"/>
      <c r="H117" s="311"/>
      <c r="I117" s="308"/>
    </row>
    <row r="118" spans="1:9" ht="26" customHeight="1">
      <c r="A118" s="308"/>
      <c r="B118" s="309"/>
      <c r="C118" s="308"/>
      <c r="D118" s="308"/>
      <c r="E118" s="310"/>
      <c r="F118" s="308"/>
      <c r="G118" s="308"/>
      <c r="H118" s="311"/>
      <c r="I118" s="308"/>
    </row>
    <row r="119" spans="1:9" ht="26" customHeight="1">
      <c r="A119" s="308"/>
      <c r="B119" s="309"/>
      <c r="C119" s="308"/>
      <c r="D119" s="308"/>
      <c r="E119" s="310"/>
      <c r="F119" s="308"/>
      <c r="G119" s="308"/>
      <c r="H119" s="311"/>
      <c r="I119" s="308"/>
    </row>
    <row r="120" spans="1:9" ht="26" customHeight="1">
      <c r="A120" s="308"/>
      <c r="B120" s="309"/>
      <c r="C120" s="308"/>
      <c r="D120" s="308"/>
      <c r="E120" s="310"/>
      <c r="F120" s="308"/>
      <c r="G120" s="308"/>
      <c r="H120" s="311"/>
      <c r="I120" s="308"/>
    </row>
    <row r="121" spans="1:9" ht="26" customHeight="1">
      <c r="A121" s="308"/>
      <c r="B121" s="309"/>
      <c r="C121" s="308"/>
      <c r="D121" s="308"/>
      <c r="E121" s="310"/>
      <c r="F121" s="308"/>
      <c r="G121" s="308"/>
      <c r="H121" s="311"/>
      <c r="I121" s="308"/>
    </row>
    <row r="122" spans="1:9" ht="26" customHeight="1">
      <c r="A122" s="308"/>
      <c r="B122" s="309"/>
      <c r="C122" s="308"/>
      <c r="D122" s="308"/>
      <c r="E122" s="310"/>
      <c r="F122" s="308"/>
      <c r="G122" s="308"/>
      <c r="H122" s="311"/>
      <c r="I122" s="308"/>
    </row>
    <row r="123" spans="1:9" ht="26" customHeight="1">
      <c r="A123" s="308"/>
      <c r="B123" s="309"/>
      <c r="C123" s="308"/>
      <c r="D123" s="308"/>
      <c r="E123" s="310"/>
      <c r="F123" s="308"/>
      <c r="G123" s="308"/>
      <c r="H123" s="311"/>
      <c r="I123" s="308"/>
    </row>
    <row r="124" spans="1:9" ht="26" customHeight="1">
      <c r="A124" s="308"/>
      <c r="B124" s="309"/>
      <c r="C124" s="308"/>
      <c r="D124" s="308"/>
      <c r="E124" s="310"/>
      <c r="F124" s="308"/>
      <c r="G124" s="308"/>
      <c r="H124" s="311"/>
      <c r="I124" s="308"/>
    </row>
    <row r="125" spans="1:9" ht="26" customHeight="1">
      <c r="A125" s="308"/>
      <c r="B125" s="309"/>
      <c r="C125" s="308"/>
      <c r="D125" s="308"/>
      <c r="E125" s="310"/>
      <c r="F125" s="308"/>
      <c r="G125" s="308"/>
      <c r="H125" s="311"/>
      <c r="I125" s="308"/>
    </row>
    <row r="126" spans="1:9" ht="26" customHeight="1">
      <c r="A126" s="308"/>
      <c r="B126" s="309"/>
      <c r="C126" s="308"/>
      <c r="D126" s="308"/>
      <c r="E126" s="310"/>
      <c r="F126" s="308"/>
      <c r="G126" s="308"/>
      <c r="H126" s="311"/>
      <c r="I126" s="308"/>
    </row>
    <row r="127" spans="1:9" ht="26" customHeight="1">
      <c r="A127" s="308"/>
      <c r="B127" s="309"/>
      <c r="C127" s="308"/>
      <c r="D127" s="308"/>
      <c r="E127" s="310"/>
      <c r="F127" s="308"/>
      <c r="G127" s="308"/>
      <c r="H127" s="311"/>
      <c r="I127" s="308"/>
    </row>
    <row r="128" spans="1:9" ht="26" customHeight="1">
      <c r="A128" s="308"/>
      <c r="B128" s="309"/>
      <c r="C128" s="308"/>
      <c r="D128" s="308"/>
      <c r="E128" s="310"/>
      <c r="F128" s="308"/>
      <c r="G128" s="308"/>
      <c r="H128" s="311"/>
      <c r="I128" s="308"/>
    </row>
    <row r="129" spans="1:9" ht="26" customHeight="1">
      <c r="A129" s="308"/>
      <c r="B129" s="309"/>
      <c r="C129" s="308"/>
      <c r="D129" s="308"/>
      <c r="E129" s="310"/>
      <c r="F129" s="308"/>
      <c r="G129" s="308"/>
      <c r="H129" s="311"/>
      <c r="I129" s="308"/>
    </row>
    <row r="130" spans="1:9" ht="26" customHeight="1">
      <c r="A130" s="308"/>
      <c r="B130" s="309"/>
      <c r="C130" s="308"/>
      <c r="D130" s="308"/>
      <c r="E130" s="310"/>
      <c r="F130" s="308"/>
      <c r="G130" s="308"/>
      <c r="H130" s="311"/>
      <c r="I130" s="308"/>
    </row>
    <row r="131" spans="1:9" ht="26" customHeight="1">
      <c r="A131" s="308"/>
      <c r="B131" s="309"/>
      <c r="C131" s="308"/>
      <c r="D131" s="308"/>
      <c r="E131" s="310"/>
      <c r="F131" s="308"/>
      <c r="G131" s="308"/>
      <c r="H131" s="311"/>
      <c r="I131" s="308"/>
    </row>
    <row r="132" spans="1:9" ht="26" customHeight="1">
      <c r="A132" s="308"/>
      <c r="B132" s="309"/>
      <c r="C132" s="308"/>
      <c r="D132" s="308"/>
      <c r="E132" s="310"/>
      <c r="F132" s="308"/>
      <c r="G132" s="308"/>
      <c r="H132" s="311"/>
      <c r="I132" s="308"/>
    </row>
    <row r="133" spans="1:9" ht="26" customHeight="1">
      <c r="A133" s="308"/>
      <c r="B133" s="309"/>
      <c r="C133" s="308"/>
      <c r="D133" s="308"/>
      <c r="E133" s="310"/>
      <c r="F133" s="308"/>
      <c r="G133" s="308"/>
      <c r="H133" s="311"/>
      <c r="I133" s="308"/>
    </row>
    <row r="134" spans="1:9" ht="26" customHeight="1">
      <c r="A134" s="308"/>
      <c r="B134" s="309"/>
      <c r="C134" s="308"/>
      <c r="D134" s="308"/>
      <c r="E134" s="310"/>
      <c r="F134" s="308"/>
      <c r="G134" s="308"/>
      <c r="H134" s="311"/>
      <c r="I134" s="308"/>
    </row>
    <row r="135" spans="1:9" ht="26" customHeight="1">
      <c r="A135" s="308"/>
      <c r="B135" s="309"/>
      <c r="C135" s="308"/>
      <c r="D135" s="308"/>
      <c r="E135" s="310"/>
      <c r="F135" s="308"/>
      <c r="G135" s="308"/>
      <c r="H135" s="311"/>
      <c r="I135" s="308"/>
    </row>
    <row r="136" spans="1:9" ht="26" customHeight="1">
      <c r="A136" s="308"/>
      <c r="B136" s="309"/>
      <c r="C136" s="308"/>
      <c r="D136" s="308"/>
      <c r="E136" s="310"/>
      <c r="F136" s="308"/>
      <c r="G136" s="308"/>
      <c r="H136" s="311"/>
      <c r="I136" s="308"/>
    </row>
    <row r="137" spans="1:9" ht="26" customHeight="1">
      <c r="A137" s="308"/>
      <c r="B137" s="309"/>
      <c r="C137" s="308"/>
      <c r="D137" s="308"/>
      <c r="E137" s="310"/>
      <c r="F137" s="308"/>
      <c r="G137" s="308"/>
      <c r="H137" s="311"/>
      <c r="I137" s="308"/>
    </row>
    <row r="138" spans="1:9" ht="26" customHeight="1">
      <c r="A138" s="308"/>
      <c r="B138" s="309"/>
      <c r="C138" s="308"/>
      <c r="D138" s="308"/>
      <c r="E138" s="310"/>
      <c r="F138" s="308"/>
      <c r="G138" s="308"/>
      <c r="H138" s="311"/>
      <c r="I138" s="308"/>
    </row>
    <row r="139" spans="1:9" ht="26" customHeight="1">
      <c r="A139" s="308"/>
      <c r="B139" s="309"/>
      <c r="C139" s="308"/>
      <c r="D139" s="308"/>
      <c r="E139" s="310"/>
      <c r="F139" s="308"/>
      <c r="G139" s="308"/>
      <c r="H139" s="311"/>
      <c r="I139" s="308"/>
    </row>
    <row r="140" spans="1:9" ht="26" customHeight="1">
      <c r="A140" s="308"/>
      <c r="B140" s="309"/>
      <c r="C140" s="308"/>
      <c r="D140" s="308"/>
      <c r="E140" s="310"/>
      <c r="F140" s="308"/>
      <c r="G140" s="308"/>
      <c r="H140" s="311"/>
      <c r="I140" s="308"/>
    </row>
    <row r="141" spans="1:9" ht="26" customHeight="1">
      <c r="A141" s="308"/>
      <c r="B141" s="309"/>
      <c r="C141" s="308"/>
      <c r="D141" s="308"/>
      <c r="E141" s="310"/>
      <c r="F141" s="308"/>
      <c r="G141" s="308"/>
      <c r="H141" s="311"/>
      <c r="I141" s="308"/>
    </row>
    <row r="142" spans="1:9" ht="26" customHeight="1">
      <c r="A142" s="308"/>
      <c r="B142" s="309"/>
      <c r="C142" s="308"/>
      <c r="D142" s="308"/>
      <c r="E142" s="310"/>
      <c r="F142" s="308"/>
      <c r="G142" s="308"/>
      <c r="H142" s="311"/>
      <c r="I142" s="308"/>
    </row>
    <row r="143" spans="1:9" ht="26" customHeight="1">
      <c r="A143" s="308"/>
      <c r="B143" s="309"/>
      <c r="C143" s="308"/>
      <c r="D143" s="308"/>
      <c r="E143" s="310"/>
      <c r="F143" s="308"/>
      <c r="G143" s="308"/>
      <c r="H143" s="311"/>
      <c r="I143" s="308"/>
    </row>
    <row r="144" spans="1:9" ht="26" customHeight="1">
      <c r="A144" s="308"/>
      <c r="B144" s="309"/>
      <c r="C144" s="308"/>
      <c r="D144" s="308"/>
      <c r="E144" s="310"/>
      <c r="F144" s="308"/>
      <c r="G144" s="308"/>
      <c r="H144" s="311"/>
      <c r="I144" s="308"/>
    </row>
    <row r="145" spans="1:9" ht="26" customHeight="1">
      <c r="A145" s="308"/>
      <c r="B145" s="309"/>
      <c r="C145" s="308"/>
      <c r="D145" s="308"/>
      <c r="E145" s="310"/>
      <c r="F145" s="308"/>
      <c r="G145" s="308"/>
      <c r="H145" s="311"/>
      <c r="I145" s="308"/>
    </row>
    <row r="146" spans="1:9" ht="26" customHeight="1">
      <c r="A146" s="308"/>
      <c r="B146" s="309"/>
      <c r="C146" s="308"/>
      <c r="D146" s="308"/>
      <c r="E146" s="310"/>
      <c r="F146" s="308"/>
      <c r="G146" s="308"/>
      <c r="H146" s="311"/>
      <c r="I146" s="308"/>
    </row>
    <row r="147" spans="1:9" ht="26" customHeight="1">
      <c r="A147" s="308"/>
      <c r="B147" s="309"/>
      <c r="C147" s="308"/>
      <c r="D147" s="308"/>
      <c r="E147" s="310"/>
      <c r="F147" s="308"/>
      <c r="G147" s="308"/>
      <c r="H147" s="311"/>
      <c r="I147" s="308"/>
    </row>
    <row r="148" spans="1:9" ht="26" customHeight="1">
      <c r="A148" s="308"/>
      <c r="B148" s="309"/>
      <c r="C148" s="308"/>
      <c r="D148" s="308"/>
      <c r="E148" s="310"/>
      <c r="F148" s="308"/>
      <c r="G148" s="308"/>
      <c r="H148" s="311"/>
      <c r="I148" s="308"/>
    </row>
    <row r="149" spans="1:9" ht="26" customHeight="1">
      <c r="A149" s="308"/>
      <c r="B149" s="309"/>
      <c r="C149" s="308"/>
      <c r="D149" s="308"/>
      <c r="E149" s="310"/>
      <c r="F149" s="308"/>
      <c r="G149" s="308"/>
      <c r="H149" s="311"/>
      <c r="I149" s="308"/>
    </row>
    <row r="150" spans="1:9" ht="26" customHeight="1">
      <c r="A150" s="308"/>
      <c r="B150" s="309"/>
      <c r="C150" s="308"/>
      <c r="D150" s="308"/>
      <c r="E150" s="310"/>
      <c r="F150" s="308"/>
      <c r="G150" s="308"/>
      <c r="H150" s="311"/>
      <c r="I150" s="308"/>
    </row>
    <row r="151" spans="1:9" ht="26" customHeight="1">
      <c r="A151" s="308"/>
      <c r="B151" s="309"/>
      <c r="C151" s="308"/>
      <c r="D151" s="308"/>
      <c r="E151" s="310"/>
      <c r="F151" s="308"/>
      <c r="G151" s="308"/>
      <c r="H151" s="311"/>
      <c r="I151" s="308"/>
    </row>
    <row r="152" spans="1:9" ht="26" customHeight="1">
      <c r="A152" s="308"/>
      <c r="B152" s="309"/>
      <c r="C152" s="308"/>
      <c r="D152" s="308"/>
      <c r="E152" s="310"/>
      <c r="F152" s="308"/>
      <c r="G152" s="308"/>
      <c r="H152" s="311"/>
      <c r="I152" s="308"/>
    </row>
    <row r="153" spans="1:9" ht="26" customHeight="1">
      <c r="A153" s="308"/>
      <c r="B153" s="309"/>
      <c r="C153" s="308"/>
      <c r="D153" s="308"/>
      <c r="E153" s="310"/>
      <c r="F153" s="308"/>
      <c r="G153" s="308"/>
      <c r="H153" s="311"/>
      <c r="I153" s="308"/>
    </row>
    <row r="154" spans="1:9" ht="26" customHeight="1">
      <c r="A154" s="308"/>
      <c r="B154" s="309"/>
      <c r="C154" s="308"/>
      <c r="D154" s="308"/>
      <c r="E154" s="310"/>
      <c r="F154" s="308"/>
      <c r="G154" s="308"/>
      <c r="H154" s="311"/>
      <c r="I154" s="308"/>
    </row>
    <row r="155" spans="1:9" ht="26" customHeight="1">
      <c r="A155" s="308"/>
      <c r="B155" s="309"/>
      <c r="C155" s="308"/>
      <c r="D155" s="308"/>
      <c r="E155" s="310"/>
      <c r="F155" s="308"/>
      <c r="G155" s="308"/>
      <c r="H155" s="311"/>
      <c r="I155" s="308"/>
    </row>
    <row r="156" spans="1:9" ht="26" customHeight="1">
      <c r="A156" s="308"/>
      <c r="B156" s="309"/>
      <c r="C156" s="308"/>
      <c r="D156" s="308"/>
      <c r="E156" s="310"/>
      <c r="F156" s="308"/>
      <c r="G156" s="308"/>
      <c r="H156" s="311"/>
      <c r="I156" s="308"/>
    </row>
    <row r="157" spans="1:9" ht="26" customHeight="1">
      <c r="A157" s="308"/>
      <c r="B157" s="309"/>
      <c r="C157" s="308"/>
      <c r="D157" s="308"/>
      <c r="E157" s="310"/>
      <c r="F157" s="308"/>
      <c r="G157" s="308"/>
      <c r="H157" s="311"/>
      <c r="I157" s="308"/>
    </row>
    <row r="158" spans="1:9" ht="26" customHeight="1">
      <c r="A158" s="308"/>
      <c r="B158" s="309"/>
      <c r="C158" s="308"/>
      <c r="D158" s="308"/>
      <c r="E158" s="310"/>
      <c r="F158" s="308"/>
      <c r="G158" s="308"/>
      <c r="H158" s="311"/>
      <c r="I158" s="308"/>
    </row>
    <row r="159" spans="1:9" ht="26" customHeight="1">
      <c r="A159" s="308"/>
      <c r="B159" s="309"/>
      <c r="C159" s="308"/>
      <c r="D159" s="308"/>
      <c r="E159" s="310"/>
      <c r="F159" s="308"/>
      <c r="G159" s="308"/>
      <c r="H159" s="311"/>
      <c r="I159" s="308"/>
    </row>
    <row r="160" spans="1:9" ht="26" customHeight="1">
      <c r="A160" s="308"/>
      <c r="B160" s="309"/>
      <c r="C160" s="308"/>
      <c r="D160" s="308"/>
      <c r="E160" s="310"/>
      <c r="F160" s="308"/>
      <c r="G160" s="308"/>
      <c r="H160" s="311"/>
      <c r="I160" s="308"/>
    </row>
    <row r="161" spans="1:9" ht="26" customHeight="1">
      <c r="A161" s="308"/>
      <c r="B161" s="309"/>
      <c r="C161" s="308"/>
      <c r="D161" s="308"/>
      <c r="E161" s="310"/>
      <c r="F161" s="308"/>
      <c r="G161" s="308"/>
      <c r="H161" s="311"/>
      <c r="I161" s="308"/>
    </row>
    <row r="162" spans="1:9" ht="26" customHeight="1">
      <c r="A162" s="308"/>
      <c r="B162" s="309"/>
      <c r="C162" s="308"/>
      <c r="D162" s="308"/>
      <c r="E162" s="310"/>
      <c r="F162" s="308"/>
      <c r="G162" s="308"/>
      <c r="H162" s="311"/>
      <c r="I162" s="308"/>
    </row>
    <row r="163" spans="1:9" ht="26" customHeight="1">
      <c r="A163" s="308"/>
      <c r="B163" s="309"/>
      <c r="C163" s="308"/>
      <c r="D163" s="308"/>
      <c r="E163" s="310"/>
      <c r="F163" s="308"/>
      <c r="G163" s="308"/>
      <c r="H163" s="311"/>
      <c r="I163" s="308"/>
    </row>
    <row r="164" spans="1:9" ht="26" customHeight="1">
      <c r="A164" s="308"/>
      <c r="B164" s="309"/>
      <c r="C164" s="308"/>
      <c r="D164" s="308"/>
      <c r="E164" s="310"/>
      <c r="F164" s="308"/>
      <c r="G164" s="308"/>
      <c r="H164" s="311"/>
      <c r="I164" s="308"/>
    </row>
    <row r="165" spans="1:9" ht="26" customHeight="1">
      <c r="A165" s="308"/>
      <c r="B165" s="309"/>
      <c r="C165" s="308"/>
      <c r="D165" s="308"/>
      <c r="E165" s="310"/>
      <c r="F165" s="308"/>
      <c r="G165" s="308"/>
      <c r="H165" s="311"/>
      <c r="I165" s="308"/>
    </row>
    <row r="166" spans="1:9" ht="26" customHeight="1">
      <c r="A166" s="308"/>
      <c r="B166" s="309"/>
      <c r="C166" s="308"/>
      <c r="D166" s="308"/>
      <c r="E166" s="310"/>
      <c r="F166" s="308"/>
      <c r="G166" s="308"/>
      <c r="H166" s="311"/>
      <c r="I166" s="308"/>
    </row>
    <row r="167" spans="1:9" ht="26" customHeight="1">
      <c r="A167" s="308"/>
      <c r="B167" s="309"/>
      <c r="C167" s="308"/>
      <c r="D167" s="308"/>
      <c r="E167" s="310"/>
      <c r="F167" s="308"/>
      <c r="G167" s="308"/>
      <c r="H167" s="311"/>
      <c r="I167" s="308"/>
    </row>
    <row r="168" spans="1:9" ht="26" customHeight="1">
      <c r="A168" s="308"/>
      <c r="B168" s="309"/>
      <c r="C168" s="308"/>
      <c r="D168" s="308"/>
      <c r="E168" s="310"/>
      <c r="F168" s="308"/>
      <c r="G168" s="308"/>
      <c r="H168" s="311"/>
      <c r="I168" s="308"/>
    </row>
    <row r="169" spans="1:9" ht="26" customHeight="1">
      <c r="A169" s="308"/>
      <c r="B169" s="309"/>
      <c r="C169" s="308"/>
      <c r="D169" s="308"/>
      <c r="E169" s="310"/>
      <c r="F169" s="308"/>
      <c r="G169" s="308"/>
      <c r="H169" s="311"/>
      <c r="I169" s="308"/>
    </row>
    <row r="170" spans="1:9" ht="26" customHeight="1">
      <c r="A170" s="308"/>
      <c r="B170" s="309"/>
      <c r="C170" s="308"/>
      <c r="D170" s="308"/>
      <c r="E170" s="310"/>
      <c r="F170" s="308"/>
      <c r="G170" s="308"/>
      <c r="H170" s="311"/>
      <c r="I170" s="308"/>
    </row>
    <row r="171" spans="1:9" ht="26" customHeight="1">
      <c r="A171" s="308"/>
      <c r="B171" s="309"/>
      <c r="C171" s="308"/>
      <c r="D171" s="308"/>
      <c r="E171" s="310"/>
      <c r="F171" s="308"/>
      <c r="G171" s="308"/>
      <c r="H171" s="311"/>
      <c r="I171" s="308"/>
    </row>
    <row r="172" spans="1:9" ht="26" customHeight="1">
      <c r="A172" s="308"/>
      <c r="B172" s="309"/>
      <c r="C172" s="308"/>
      <c r="D172" s="308"/>
      <c r="E172" s="310"/>
      <c r="F172" s="308"/>
      <c r="G172" s="308"/>
      <c r="H172" s="311"/>
      <c r="I172" s="308"/>
    </row>
  </sheetData>
  <mergeCells count="25">
    <mergeCell ref="K8:L8"/>
    <mergeCell ref="K9:L9"/>
    <mergeCell ref="K10:L10"/>
    <mergeCell ref="K11:L11"/>
    <mergeCell ref="A1:L1"/>
    <mergeCell ref="C3:E3"/>
    <mergeCell ref="F3:H3"/>
    <mergeCell ref="K5:L5"/>
    <mergeCell ref="K6:L6"/>
    <mergeCell ref="K22:L22"/>
    <mergeCell ref="A3:A4"/>
    <mergeCell ref="B3:B4"/>
    <mergeCell ref="I3:I4"/>
    <mergeCell ref="K3:L4"/>
    <mergeCell ref="K17:L17"/>
    <mergeCell ref="K18:L18"/>
    <mergeCell ref="K19:L19"/>
    <mergeCell ref="K20:L20"/>
    <mergeCell ref="K21:L21"/>
    <mergeCell ref="K12:L12"/>
    <mergeCell ref="K13:L13"/>
    <mergeCell ref="K14:L14"/>
    <mergeCell ref="K15:L15"/>
    <mergeCell ref="K16:L16"/>
    <mergeCell ref="K7:L7"/>
  </mergeCells>
  <phoneticPr fontId="105" type="noConversion"/>
  <dataValidations count="2">
    <dataValidation type="list" allowBlank="1" showInputMessage="1" showErrorMessage="1" sqref="K5:L5" xr:uid="{00000000-0002-0000-0000-000000000000}">
      <formula1>"1,2,3,4,5,6,7,8,9,10,11,12"</formula1>
    </dataValidation>
    <dataValidation type="list" allowBlank="1" showInputMessage="1" showErrorMessage="1" sqref="K3:L4" xr:uid="{00000000-0002-0000-0000-000001000000}">
      <formula1>"2018,2019,2020,2021,2022,2023,2024,2025,2026,2027,2028,2029,2030,2031,2032,2033,2034,2035"</formula1>
    </dataValidation>
  </dataValidations>
  <pageMargins left="0.47222222222222199" right="0.47222222222222199" top="0.47222222222222199" bottom="0.43263888888888902" header="0.47222222222222199" footer="0.47222222222222199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4" tint="-0.249977111117893"/>
    <pageSetUpPr fitToPage="1"/>
  </sheetPr>
  <dimension ref="B1:S67"/>
  <sheetViews>
    <sheetView showGridLines="0" workbookViewId="0">
      <pane ySplit="4" topLeftCell="A5" activePane="bottomLeft" state="frozen"/>
      <selection pane="bottomLeft" activeCell="B38" sqref="B38"/>
    </sheetView>
  </sheetViews>
  <sheetFormatPr baseColWidth="10" defaultColWidth="9" defaultRowHeight="17.25" customHeight="1"/>
  <cols>
    <col min="1" max="1" width="2.1640625" style="251" customWidth="1"/>
    <col min="2" max="2" width="24.6640625" style="251" customWidth="1"/>
    <col min="3" max="3" width="2.83203125" style="251" customWidth="1"/>
    <col min="4" max="16" width="10.1640625" style="251" customWidth="1"/>
    <col min="17" max="17" width="2.83203125" style="251" customWidth="1"/>
    <col min="18" max="16384" width="9" style="251"/>
  </cols>
  <sheetData>
    <row r="1" spans="2:19" ht="42" customHeight="1">
      <c r="B1" s="252" t="s">
        <v>13</v>
      </c>
      <c r="C1" s="253"/>
      <c r="D1" s="253"/>
      <c r="E1" s="254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3"/>
      <c r="Q1" s="253"/>
      <c r="R1" s="253"/>
      <c r="S1" s="253"/>
    </row>
    <row r="2" spans="2:19" ht="22.5" customHeight="1">
      <c r="Q2" s="282"/>
    </row>
    <row r="3" spans="2:19" ht="25.5" customHeight="1">
      <c r="B3" s="255" t="s">
        <v>14</v>
      </c>
      <c r="D3" s="256" t="s">
        <v>15</v>
      </c>
      <c r="E3" s="257" t="str">
        <f>UPPER(TEXT(FiscalYearStartDate,"M 月"))</f>
        <v>1 月</v>
      </c>
      <c r="F3" s="257" t="str">
        <f>UPPER(TEXT(EOMONTH(FiscalYearStartDate,1),"M 月"))</f>
        <v>2 月</v>
      </c>
      <c r="G3" s="257" t="str">
        <f>UPPER(TEXT(EOMONTH(FiscalYearStartDate,2),"M 月"))</f>
        <v>3 月</v>
      </c>
      <c r="H3" s="257" t="str">
        <f>UPPER(TEXT(EOMONTH(FiscalYearStartDate,3),"M 月"))</f>
        <v>4 月</v>
      </c>
      <c r="I3" s="257" t="str">
        <f>UPPER(TEXT(EOMONTH(FiscalYearStartDate,4),"M 月"))</f>
        <v>5 月</v>
      </c>
      <c r="J3" s="257" t="str">
        <f>UPPER(TEXT(EOMONTH(FiscalYearStartDate,5),"M 月"))</f>
        <v>6 月</v>
      </c>
      <c r="K3" s="257" t="str">
        <f>UPPER(TEXT(EOMONTH(FiscalYearStartDate,6),"M 月"))</f>
        <v>7 月</v>
      </c>
      <c r="L3" s="257" t="str">
        <f>UPPER(TEXT(EOMONTH(FiscalYearStartDate,7),"M 月"))</f>
        <v>8 月</v>
      </c>
      <c r="M3" s="257" t="str">
        <f>UPPER(TEXT(EOMONTH(FiscalYearStartDate,8),"M 月"))</f>
        <v>9 月</v>
      </c>
      <c r="N3" s="257" t="str">
        <f>UPPER(TEXT(EOMONTH(FiscalYearStartDate,9),"M 月"))</f>
        <v>10 月</v>
      </c>
      <c r="O3" s="257" t="str">
        <f>UPPER(TEXT(EOMONTH(FiscalYearStartDate,10),"M 月"))</f>
        <v>11 月</v>
      </c>
      <c r="P3" s="257" t="str">
        <f>UPPER(TEXT(EOMONTH(FiscalYearStartDate,11),"M 月"))</f>
        <v>12 月</v>
      </c>
      <c r="Q3" s="283"/>
      <c r="R3" s="284" t="s">
        <v>16</v>
      </c>
    </row>
    <row r="4" spans="2:19" ht="14.25" customHeight="1">
      <c r="B4" s="258">
        <v>45658</v>
      </c>
      <c r="D4" s="259" t="s">
        <v>17</v>
      </c>
      <c r="E4" s="260">
        <f>FiscalYearStartDate</f>
        <v>45658</v>
      </c>
      <c r="F4" s="260">
        <f t="shared" ref="F4" si="0">EOMONTH(E4,0)+DAY(FiscalYearStartDate)</f>
        <v>45689</v>
      </c>
      <c r="G4" s="260">
        <f t="shared" ref="G4" si="1">EOMONTH(F4,0)+DAY(FiscalYearStartDate)</f>
        <v>45717</v>
      </c>
      <c r="H4" s="260">
        <f t="shared" ref="H4" si="2">EOMONTH(G4,0)+DAY(FiscalYearStartDate)</f>
        <v>45748</v>
      </c>
      <c r="I4" s="260">
        <f t="shared" ref="I4" si="3">EOMONTH(H4,0)+DAY(FiscalYearStartDate)</f>
        <v>45778</v>
      </c>
      <c r="J4" s="260">
        <f t="shared" ref="J4" si="4">EOMONTH(I4,0)+DAY(FiscalYearStartDate)</f>
        <v>45809</v>
      </c>
      <c r="K4" s="260">
        <f t="shared" ref="K4" si="5">EOMONTH(J4,0)+DAY(FiscalYearStartDate)</f>
        <v>45839</v>
      </c>
      <c r="L4" s="260">
        <f t="shared" ref="L4" si="6">EOMONTH(K4,0)+DAY(FiscalYearStartDate)</f>
        <v>45870</v>
      </c>
      <c r="M4" s="260">
        <f t="shared" ref="M4" si="7">EOMONTH(L4,0)+DAY(FiscalYearStartDate)</f>
        <v>45901</v>
      </c>
      <c r="N4" s="260">
        <f t="shared" ref="N4" si="8">EOMONTH(M4,0)+DAY(FiscalYearStartDate)</f>
        <v>45931</v>
      </c>
      <c r="O4" s="260">
        <f t="shared" ref="O4" si="9">EOMONTH(N4,0)+DAY(FiscalYearStartDate)</f>
        <v>45962</v>
      </c>
      <c r="P4" s="260">
        <f t="shared" ref="P4" si="10">EOMONTH(O4,0)+DAY(FiscalYearStartDate)</f>
        <v>45992</v>
      </c>
      <c r="Q4" s="285"/>
      <c r="R4" s="256" t="s">
        <v>18</v>
      </c>
    </row>
    <row r="5" spans="2:19" ht="17.25" customHeight="1">
      <c r="B5" s="258"/>
      <c r="D5" s="261"/>
      <c r="E5" s="262"/>
      <c r="F5" s="262"/>
      <c r="G5" s="262"/>
      <c r="H5" s="262"/>
      <c r="I5" s="262"/>
      <c r="J5" s="262"/>
      <c r="K5" s="262"/>
      <c r="L5" s="262"/>
      <c r="M5" s="262"/>
      <c r="N5" s="262"/>
      <c r="O5" s="262"/>
      <c r="P5" s="262"/>
      <c r="Q5" s="286"/>
      <c r="R5" s="287"/>
    </row>
    <row r="6" spans="2:19" ht="17.25" customHeight="1">
      <c r="B6" s="263" t="s">
        <v>19</v>
      </c>
      <c r="D6" s="264">
        <v>0</v>
      </c>
      <c r="E6" s="264">
        <f>D67</f>
        <v>0</v>
      </c>
      <c r="F6" s="264">
        <f t="shared" ref="F6:P6" si="11">E67</f>
        <v>0</v>
      </c>
      <c r="G6" s="264">
        <f t="shared" si="11"/>
        <v>0</v>
      </c>
      <c r="H6" s="264">
        <f t="shared" si="11"/>
        <v>0</v>
      </c>
      <c r="I6" s="264">
        <f t="shared" si="11"/>
        <v>30000</v>
      </c>
      <c r="J6" s="264">
        <f t="shared" si="11"/>
        <v>30000</v>
      </c>
      <c r="K6" s="264">
        <f t="shared" si="11"/>
        <v>30000</v>
      </c>
      <c r="L6" s="264">
        <f t="shared" si="11"/>
        <v>30000</v>
      </c>
      <c r="M6" s="264">
        <f t="shared" si="11"/>
        <v>30000</v>
      </c>
      <c r="N6" s="264">
        <f t="shared" si="11"/>
        <v>30000</v>
      </c>
      <c r="O6" s="264">
        <f t="shared" si="11"/>
        <v>30000</v>
      </c>
      <c r="P6" s="264">
        <f t="shared" si="11"/>
        <v>30000</v>
      </c>
      <c r="Q6" s="288"/>
      <c r="R6" s="264">
        <f>P6</f>
        <v>30000</v>
      </c>
      <c r="S6" s="289"/>
    </row>
    <row r="7" spans="2:19" ht="17.25" customHeight="1">
      <c r="Q7" s="267"/>
    </row>
    <row r="8" spans="2:19" ht="17.25" customHeight="1">
      <c r="B8" s="265" t="s">
        <v>20</v>
      </c>
      <c r="Q8" s="267"/>
    </row>
    <row r="9" spans="2:19" ht="17.25" customHeight="1">
      <c r="B9" s="266" t="s">
        <v>21</v>
      </c>
      <c r="C9" s="267"/>
      <c r="D9" s="268"/>
      <c r="E9" s="268"/>
      <c r="F9" s="268"/>
      <c r="G9" s="268"/>
      <c r="H9" s="268"/>
      <c r="I9" s="268"/>
      <c r="J9" s="268"/>
      <c r="K9" s="268"/>
      <c r="L9" s="268"/>
      <c r="M9" s="268"/>
      <c r="N9" s="268"/>
      <c r="O9" s="268"/>
      <c r="P9" s="268"/>
      <c r="Q9" s="290"/>
      <c r="R9" s="277">
        <f>SUM(CashReceipts[[#This Row],[Period 0]:[Period 12]])</f>
        <v>0</v>
      </c>
    </row>
    <row r="10" spans="2:19" ht="17.25" customHeight="1">
      <c r="B10" s="266" t="s">
        <v>22</v>
      </c>
      <c r="C10" s="267"/>
      <c r="D10" s="268"/>
      <c r="E10" s="268"/>
      <c r="F10" s="268"/>
      <c r="G10" s="268"/>
      <c r="H10" s="268"/>
      <c r="I10" s="268"/>
      <c r="J10" s="268"/>
      <c r="K10" s="268"/>
      <c r="L10" s="268"/>
      <c r="M10" s="268"/>
      <c r="N10" s="268"/>
      <c r="O10" s="268"/>
      <c r="P10" s="268"/>
      <c r="Q10" s="290"/>
      <c r="R10" s="277">
        <f>SUM(CashReceipts[[#This Row],[Period 0]:[Period 12]])</f>
        <v>0</v>
      </c>
    </row>
    <row r="11" spans="2:19" ht="17.25" customHeight="1">
      <c r="B11" s="323" t="s">
        <v>324</v>
      </c>
      <c r="C11" s="267"/>
      <c r="D11" s="268"/>
      <c r="E11" s="268"/>
      <c r="F11" s="268"/>
      <c r="G11" s="268"/>
      <c r="H11" s="268">
        <v>30000</v>
      </c>
      <c r="I11" s="268"/>
      <c r="J11" s="268"/>
      <c r="K11" s="268"/>
      <c r="L11" s="268"/>
      <c r="M11" s="268"/>
      <c r="N11" s="268"/>
      <c r="O11" s="268"/>
      <c r="P11" s="268"/>
      <c r="Q11" s="290"/>
      <c r="R11" s="277">
        <f>SUM(CashReceipts[[#This Row],[Period 0]:[Period 12]])</f>
        <v>30000</v>
      </c>
    </row>
    <row r="12" spans="2:19" ht="17.25" customHeight="1">
      <c r="B12" s="266" t="s">
        <v>23</v>
      </c>
      <c r="C12" s="269"/>
      <c r="D12" s="268"/>
      <c r="E12" s="268"/>
      <c r="F12" s="268"/>
      <c r="G12" s="268"/>
      <c r="H12" s="268"/>
      <c r="I12" s="268"/>
      <c r="J12" s="268"/>
      <c r="K12" s="268"/>
      <c r="L12" s="268"/>
      <c r="M12" s="268"/>
      <c r="N12" s="268"/>
      <c r="O12" s="268"/>
      <c r="P12" s="268"/>
      <c r="Q12" s="290"/>
      <c r="R12" s="277">
        <f>SUM(CashReceipts[[#This Row],[Period 0]:[Period 12]])</f>
        <v>0</v>
      </c>
    </row>
    <row r="13" spans="2:19" ht="17.25" customHeight="1">
      <c r="B13" s="266" t="s">
        <v>24</v>
      </c>
      <c r="C13" s="267"/>
      <c r="D13" s="268"/>
      <c r="E13" s="268"/>
      <c r="F13" s="268"/>
      <c r="G13" s="268"/>
      <c r="H13" s="268"/>
      <c r="I13" s="268"/>
      <c r="J13" s="268"/>
      <c r="K13" s="268"/>
      <c r="L13" s="268"/>
      <c r="M13" s="268"/>
      <c r="N13" s="268"/>
      <c r="O13" s="268"/>
      <c r="P13" s="268"/>
      <c r="Q13" s="290"/>
      <c r="R13" s="277">
        <f>SUM(CashReceipts[[#This Row],[Period 0]:[Period 12]])</f>
        <v>0</v>
      </c>
    </row>
    <row r="14" spans="2:19" ht="17.25" customHeight="1">
      <c r="B14" s="266" t="s">
        <v>25</v>
      </c>
      <c r="C14" s="267"/>
      <c r="D14" s="268"/>
      <c r="E14" s="268"/>
      <c r="F14" s="268"/>
      <c r="G14" s="268"/>
      <c r="H14" s="268"/>
      <c r="I14" s="268"/>
      <c r="J14" s="268"/>
      <c r="K14" s="268"/>
      <c r="L14" s="268"/>
      <c r="M14" s="268"/>
      <c r="N14" s="268"/>
      <c r="O14" s="268"/>
      <c r="P14" s="268"/>
      <c r="Q14" s="290"/>
      <c r="R14" s="277">
        <f>SUM(CashReceipts[[#This Row],[Period 0]:[Period 12]])</f>
        <v>0</v>
      </c>
    </row>
    <row r="15" spans="2:19" ht="17.25" customHeight="1">
      <c r="B15" s="270" t="s">
        <v>16</v>
      </c>
      <c r="C15" s="271"/>
      <c r="D15" s="272"/>
      <c r="E15" s="272">
        <f>SUBTOTAL(109,CashReceipts[Period 1])</f>
        <v>0</v>
      </c>
      <c r="F15" s="272">
        <f>SUBTOTAL(109,CashReceipts[Period 2])</f>
        <v>0</v>
      </c>
      <c r="G15" s="272">
        <f>SUBTOTAL(109,CashReceipts[Period 3])</f>
        <v>0</v>
      </c>
      <c r="H15" s="272">
        <f>SUBTOTAL(109,CashReceipts[Period 4])</f>
        <v>30000</v>
      </c>
      <c r="I15" s="272">
        <f>SUBTOTAL(109,CashReceipts[Period 5])</f>
        <v>0</v>
      </c>
      <c r="J15" s="272">
        <f>SUBTOTAL(109,CashReceipts[Period 6])</f>
        <v>0</v>
      </c>
      <c r="K15" s="272">
        <f>SUBTOTAL(109,CashReceipts[Period 7])</f>
        <v>0</v>
      </c>
      <c r="L15" s="272">
        <f>SUBTOTAL(109,CashReceipts[Period 8])</f>
        <v>0</v>
      </c>
      <c r="M15" s="272">
        <f>SUBTOTAL(109,CashReceipts[Period 9])</f>
        <v>0</v>
      </c>
      <c r="N15" s="272">
        <f>SUBTOTAL(109,CashReceipts[Period 10])</f>
        <v>0</v>
      </c>
      <c r="O15" s="272">
        <f>SUBTOTAL(109,CashReceipts[Period 11])</f>
        <v>0</v>
      </c>
      <c r="P15" s="272">
        <f>SUBTOTAL(109,CashReceipts[Period 12])</f>
        <v>0</v>
      </c>
      <c r="Q15" s="291"/>
      <c r="R15" s="272">
        <f>SUBTOTAL(109,CashReceipts[Total])</f>
        <v>30000</v>
      </c>
      <c r="S15" s="292"/>
    </row>
    <row r="16" spans="2:19" ht="17.25" customHeight="1">
      <c r="B16" s="273" t="s">
        <v>26</v>
      </c>
      <c r="C16" s="274"/>
      <c r="D16" s="275">
        <f>D6+SUM(CashReceipts[Period 0])</f>
        <v>0</v>
      </c>
      <c r="E16" s="275">
        <f>E6+SUM(CashReceipts[Period 1])</f>
        <v>0</v>
      </c>
      <c r="F16" s="275">
        <f>F6+SUM(CashReceipts[Period 2])</f>
        <v>0</v>
      </c>
      <c r="G16" s="275">
        <f>G6+SUM(CashReceipts[Period 3])</f>
        <v>0</v>
      </c>
      <c r="H16" s="275">
        <f>H6+SUM(CashReceipts[Period 4])</f>
        <v>30000</v>
      </c>
      <c r="I16" s="275">
        <f>I6+SUM(CashReceipts[Period 5])</f>
        <v>30000</v>
      </c>
      <c r="J16" s="275">
        <f>J6+SUM(CashReceipts[Period 6])</f>
        <v>30000</v>
      </c>
      <c r="K16" s="275">
        <f>K6+SUM(CashReceipts[Period 7])</f>
        <v>30000</v>
      </c>
      <c r="L16" s="275">
        <f>L6+SUM(CashReceipts[Period 8])</f>
        <v>30000</v>
      </c>
      <c r="M16" s="275">
        <f>M6+SUM(CashReceipts[Period 9])</f>
        <v>30000</v>
      </c>
      <c r="N16" s="275">
        <f>N6+SUM(CashReceipts[Period 10])</f>
        <v>30000</v>
      </c>
      <c r="O16" s="275">
        <f>O6+SUM(CashReceipts[Period 11])</f>
        <v>30000</v>
      </c>
      <c r="P16" s="275">
        <f>P6+SUM(CashReceipts[Period 12])</f>
        <v>30000</v>
      </c>
      <c r="Q16" s="293"/>
      <c r="R16" s="275">
        <f>R6+SUM(CashReceipts[Total])</f>
        <v>60000</v>
      </c>
      <c r="S16" s="294"/>
    </row>
    <row r="17" spans="2:19" ht="17.25" customHeight="1">
      <c r="B17" s="276"/>
      <c r="C17" s="274"/>
      <c r="D17" s="277"/>
      <c r="E17" s="277"/>
      <c r="F17" s="277"/>
      <c r="G17" s="277"/>
      <c r="H17" s="277"/>
      <c r="I17" s="277"/>
      <c r="J17" s="277"/>
      <c r="K17" s="277"/>
      <c r="L17" s="277"/>
      <c r="M17" s="277"/>
      <c r="N17" s="277"/>
      <c r="O17" s="277"/>
      <c r="P17" s="277"/>
      <c r="Q17" s="290"/>
      <c r="R17" s="277"/>
    </row>
    <row r="18" spans="2:19" ht="17.25" customHeight="1">
      <c r="B18" s="278" t="s">
        <v>27</v>
      </c>
      <c r="C18" s="274"/>
      <c r="Q18" s="267"/>
    </row>
    <row r="19" spans="2:19" ht="17.25" customHeight="1">
      <c r="B19" s="279" t="s">
        <v>28</v>
      </c>
      <c r="C19" s="267"/>
      <c r="D19" s="268"/>
      <c r="E19" s="268"/>
      <c r="F19" s="268"/>
      <c r="G19" s="268"/>
      <c r="H19" s="268"/>
      <c r="I19" s="268"/>
      <c r="J19" s="268"/>
      <c r="K19" s="268"/>
      <c r="L19" s="268"/>
      <c r="M19" s="268"/>
      <c r="N19" s="268"/>
      <c r="O19" s="268"/>
      <c r="P19" s="268"/>
      <c r="Q19" s="290"/>
      <c r="R19" s="277">
        <f>SUM(CashPaidOut218[[#This Row],[Period 0]:[Period 12]])</f>
        <v>0</v>
      </c>
      <c r="S19" s="295"/>
    </row>
    <row r="20" spans="2:19" ht="17.25" customHeight="1">
      <c r="B20" s="279" t="s">
        <v>29</v>
      </c>
      <c r="C20" s="267"/>
      <c r="D20" s="268"/>
      <c r="E20" s="268"/>
      <c r="F20" s="268"/>
      <c r="G20" s="268"/>
      <c r="H20" s="268"/>
      <c r="I20" s="268"/>
      <c r="J20" s="268"/>
      <c r="K20" s="268"/>
      <c r="L20" s="268"/>
      <c r="M20" s="268"/>
      <c r="N20" s="268"/>
      <c r="O20" s="268"/>
      <c r="P20" s="268"/>
      <c r="Q20" s="290"/>
      <c r="R20" s="277">
        <f>SUM(CashPaidOut218[[#This Row],[Period 0]:[Period 12]])</f>
        <v>0</v>
      </c>
      <c r="S20" s="295"/>
    </row>
    <row r="21" spans="2:19" ht="17.25" customHeight="1">
      <c r="B21" s="279" t="s">
        <v>30</v>
      </c>
      <c r="C21" s="267"/>
      <c r="D21" s="268"/>
      <c r="E21" s="268"/>
      <c r="F21" s="268"/>
      <c r="G21" s="268"/>
      <c r="H21" s="268"/>
      <c r="I21" s="268"/>
      <c r="J21" s="268"/>
      <c r="K21" s="268"/>
      <c r="L21" s="268"/>
      <c r="M21" s="268"/>
      <c r="N21" s="268"/>
      <c r="O21" s="268"/>
      <c r="P21" s="268"/>
      <c r="Q21" s="290"/>
      <c r="R21" s="277">
        <f>SUM(CashPaidOut218[[#This Row],[Period 0]:[Period 12]])</f>
        <v>0</v>
      </c>
      <c r="S21" s="295"/>
    </row>
    <row r="22" spans="2:19" ht="17.25" customHeight="1">
      <c r="B22" s="279" t="s">
        <v>31</v>
      </c>
      <c r="C22" s="267"/>
      <c r="D22" s="268"/>
      <c r="E22" s="268"/>
      <c r="F22" s="268"/>
      <c r="G22" s="268"/>
      <c r="H22" s="268"/>
      <c r="I22" s="268"/>
      <c r="J22" s="268"/>
      <c r="K22" s="268"/>
      <c r="L22" s="268"/>
      <c r="M22" s="268"/>
      <c r="N22" s="268"/>
      <c r="O22" s="268"/>
      <c r="P22" s="268"/>
      <c r="Q22" s="290"/>
      <c r="R22" s="277">
        <f>SUM(CashPaidOut218[[#This Row],[Period 0]:[Period 12]])</f>
        <v>0</v>
      </c>
      <c r="S22" s="295"/>
    </row>
    <row r="23" spans="2:19" ht="17.25" customHeight="1">
      <c r="B23" s="279" t="s">
        <v>32</v>
      </c>
      <c r="C23" s="267"/>
      <c r="D23" s="268"/>
      <c r="E23" s="268"/>
      <c r="F23" s="268"/>
      <c r="G23" s="268"/>
      <c r="H23" s="268"/>
      <c r="I23" s="268"/>
      <c r="J23" s="268"/>
      <c r="K23" s="268"/>
      <c r="L23" s="268"/>
      <c r="M23" s="268"/>
      <c r="N23" s="268"/>
      <c r="O23" s="268"/>
      <c r="P23" s="268"/>
      <c r="Q23" s="290"/>
      <c r="R23" s="277">
        <f>SUM(CashPaidOut218[[#This Row],[Period 0]:[Period 12]])</f>
        <v>0</v>
      </c>
      <c r="S23" s="295"/>
    </row>
    <row r="24" spans="2:19" ht="17.25" customHeight="1">
      <c r="B24" s="280" t="s">
        <v>16</v>
      </c>
      <c r="C24" s="281"/>
      <c r="D24" s="272">
        <f>SUBTOTAL(109,CashPaidOut218[Period 0])</f>
        <v>0</v>
      </c>
      <c r="E24" s="272">
        <f>SUBTOTAL(109,CashPaidOut218[Period 1])</f>
        <v>0</v>
      </c>
      <c r="F24" s="272">
        <f>SUBTOTAL(109,CashPaidOut218[Period 2])</f>
        <v>0</v>
      </c>
      <c r="G24" s="272">
        <f>SUBTOTAL(109,CashPaidOut218[Period 3])</f>
        <v>0</v>
      </c>
      <c r="H24" s="272">
        <f>SUBTOTAL(109,CashPaidOut218[Period 4])</f>
        <v>0</v>
      </c>
      <c r="I24" s="272">
        <f>SUBTOTAL(109,CashPaidOut218[Period 5])</f>
        <v>0</v>
      </c>
      <c r="J24" s="272">
        <f>SUBTOTAL(109,CashPaidOut218[Period 6])</f>
        <v>0</v>
      </c>
      <c r="K24" s="272">
        <f>SUBTOTAL(109,CashPaidOut218[Period 7])</f>
        <v>0</v>
      </c>
      <c r="L24" s="272">
        <f>SUBTOTAL(109,CashPaidOut218[Period 8])</f>
        <v>0</v>
      </c>
      <c r="M24" s="272">
        <f>SUBTOTAL(109,CashPaidOut218[Period 9])</f>
        <v>0</v>
      </c>
      <c r="N24" s="272">
        <f>SUBTOTAL(109,CashPaidOut218[Period 10])</f>
        <v>0</v>
      </c>
      <c r="O24" s="272">
        <f>SUBTOTAL(109,CashPaidOut218[Period 11])</f>
        <v>0</v>
      </c>
      <c r="P24" s="272">
        <f>SUBTOTAL(109,CashPaidOut218[Period 12])</f>
        <v>0</v>
      </c>
      <c r="Q24" s="291"/>
      <c r="R24" s="272">
        <f>SUBTOTAL(109,CashPaidOut218[Total])</f>
        <v>0</v>
      </c>
      <c r="S24" s="296"/>
    </row>
    <row r="25" spans="2:19" ht="17.25" customHeight="1">
      <c r="B25" s="351"/>
      <c r="C25" s="351"/>
      <c r="D25" s="351"/>
      <c r="E25" s="351"/>
      <c r="F25" s="351"/>
      <c r="G25" s="351"/>
      <c r="H25" s="351"/>
      <c r="I25" s="351"/>
      <c r="J25" s="351"/>
      <c r="K25" s="351"/>
      <c r="L25" s="351"/>
      <c r="M25" s="351"/>
      <c r="N25" s="351"/>
      <c r="O25" s="351"/>
      <c r="P25" s="351"/>
      <c r="Q25" s="351"/>
      <c r="R25" s="351"/>
      <c r="S25" s="351"/>
    </row>
    <row r="26" spans="2:19" ht="17.25" customHeight="1">
      <c r="B26" s="278" t="s">
        <v>33</v>
      </c>
      <c r="C26" s="267"/>
      <c r="Q26" s="267"/>
    </row>
    <row r="27" spans="2:19" ht="17.25" customHeight="1">
      <c r="B27" s="279" t="s">
        <v>34</v>
      </c>
      <c r="C27" s="267"/>
      <c r="D27" s="268"/>
      <c r="E27" s="268"/>
      <c r="F27" s="268"/>
      <c r="G27" s="268"/>
      <c r="H27" s="268"/>
      <c r="I27" s="268"/>
      <c r="J27" s="268"/>
      <c r="K27" s="268"/>
      <c r="L27" s="268"/>
      <c r="M27" s="268"/>
      <c r="N27" s="268"/>
      <c r="O27" s="268"/>
      <c r="P27" s="268"/>
      <c r="Q27" s="297"/>
      <c r="R27" s="277">
        <f>SUM(CashPaidOut[[#This Row],[Period 0]:[Period 12]])</f>
        <v>0</v>
      </c>
      <c r="S27" s="296"/>
    </row>
    <row r="28" spans="2:19" ht="17.25" customHeight="1">
      <c r="B28" s="279" t="s">
        <v>35</v>
      </c>
      <c r="C28" s="267"/>
      <c r="D28" s="268"/>
      <c r="E28" s="268"/>
      <c r="F28" s="268"/>
      <c r="G28" s="268"/>
      <c r="H28" s="268"/>
      <c r="I28" s="268"/>
      <c r="J28" s="268"/>
      <c r="K28" s="268"/>
      <c r="L28" s="268"/>
      <c r="M28" s="268"/>
      <c r="N28" s="268"/>
      <c r="O28" s="268"/>
      <c r="P28" s="268"/>
      <c r="Q28" s="297"/>
      <c r="R28" s="277">
        <f>SUM(CashPaidOut[[#This Row],[Period 0]:[Period 12]])</f>
        <v>0</v>
      </c>
      <c r="S28" s="296"/>
    </row>
    <row r="29" spans="2:19" ht="17.25" customHeight="1">
      <c r="B29" s="279" t="s">
        <v>23</v>
      </c>
      <c r="C29" s="267"/>
      <c r="D29" s="268"/>
      <c r="E29" s="268"/>
      <c r="F29" s="268"/>
      <c r="G29" s="268"/>
      <c r="H29" s="268"/>
      <c r="I29" s="268"/>
      <c r="J29" s="268"/>
      <c r="K29" s="268"/>
      <c r="L29" s="268"/>
      <c r="M29" s="268"/>
      <c r="N29" s="268"/>
      <c r="O29" s="268"/>
      <c r="P29" s="268"/>
      <c r="Q29" s="297"/>
      <c r="R29" s="277">
        <f>SUM(CashPaidOut[[#This Row],[Period 0]:[Period 12]])</f>
        <v>0</v>
      </c>
      <c r="S29" s="296"/>
    </row>
    <row r="30" spans="2:19" ht="17.25" customHeight="1">
      <c r="B30" s="279" t="s">
        <v>36</v>
      </c>
      <c r="C30" s="267"/>
      <c r="D30" s="268"/>
      <c r="E30" s="268"/>
      <c r="F30" s="268"/>
      <c r="G30" s="268"/>
      <c r="H30" s="268"/>
      <c r="I30" s="268"/>
      <c r="J30" s="268"/>
      <c r="K30" s="268"/>
      <c r="L30" s="268"/>
      <c r="M30" s="268"/>
      <c r="N30" s="268"/>
      <c r="O30" s="268"/>
      <c r="P30" s="268"/>
      <c r="Q30" s="297"/>
      <c r="R30" s="277">
        <f>SUM(CashPaidOut[[#This Row],[Period 0]:[Period 12]])</f>
        <v>0</v>
      </c>
      <c r="S30" s="296"/>
    </row>
    <row r="31" spans="2:19" ht="17.25" customHeight="1">
      <c r="B31" s="279" t="s">
        <v>37</v>
      </c>
      <c r="C31" s="267"/>
      <c r="D31" s="268"/>
      <c r="E31" s="268"/>
      <c r="F31" s="268"/>
      <c r="G31" s="268"/>
      <c r="H31" s="268"/>
      <c r="I31" s="268"/>
      <c r="J31" s="268"/>
      <c r="K31" s="268"/>
      <c r="L31" s="268"/>
      <c r="M31" s="268"/>
      <c r="N31" s="268"/>
      <c r="O31" s="268"/>
      <c r="P31" s="268"/>
      <c r="Q31" s="297"/>
      <c r="R31" s="277">
        <f>SUM(CashPaidOut[[#This Row],[Period 0]:[Period 12]])</f>
        <v>0</v>
      </c>
      <c r="S31" s="296"/>
    </row>
    <row r="32" spans="2:19" ht="17.25" customHeight="1">
      <c r="B32" s="279" t="s">
        <v>38</v>
      </c>
      <c r="C32" s="267"/>
      <c r="D32" s="268"/>
      <c r="E32" s="268"/>
      <c r="F32" s="268"/>
      <c r="G32" s="268"/>
      <c r="H32" s="268"/>
      <c r="I32" s="268"/>
      <c r="J32" s="268"/>
      <c r="K32" s="268"/>
      <c r="L32" s="268"/>
      <c r="M32" s="268"/>
      <c r="N32" s="268"/>
      <c r="O32" s="268"/>
      <c r="P32" s="268"/>
      <c r="Q32" s="297"/>
      <c r="R32" s="277">
        <f>SUM(CashPaidOut[[#This Row],[Period 0]:[Period 12]])</f>
        <v>0</v>
      </c>
      <c r="S32" s="296"/>
    </row>
    <row r="33" spans="2:19" ht="17.25" customHeight="1">
      <c r="B33" s="279" t="s">
        <v>39</v>
      </c>
      <c r="C33" s="267"/>
      <c r="D33" s="268"/>
      <c r="E33" s="268"/>
      <c r="F33" s="268"/>
      <c r="G33" s="268"/>
      <c r="H33" s="268"/>
      <c r="I33" s="268"/>
      <c r="J33" s="268"/>
      <c r="K33" s="268"/>
      <c r="L33" s="268"/>
      <c r="M33" s="268"/>
      <c r="N33" s="268"/>
      <c r="O33" s="268"/>
      <c r="P33" s="268"/>
      <c r="Q33" s="297"/>
      <c r="R33" s="277">
        <f>SUM(CashPaidOut[[#This Row],[Period 0]:[Period 12]])</f>
        <v>0</v>
      </c>
      <c r="S33" s="296"/>
    </row>
    <row r="34" spans="2:19" ht="17.25" customHeight="1">
      <c r="B34" s="279" t="s">
        <v>40</v>
      </c>
      <c r="C34" s="267"/>
      <c r="D34" s="268"/>
      <c r="E34" s="268"/>
      <c r="F34" s="268"/>
      <c r="G34" s="268"/>
      <c r="H34" s="268"/>
      <c r="I34" s="268"/>
      <c r="J34" s="268"/>
      <c r="K34" s="268"/>
      <c r="L34" s="268"/>
      <c r="M34" s="268"/>
      <c r="N34" s="268"/>
      <c r="O34" s="268"/>
      <c r="P34" s="268"/>
      <c r="Q34" s="297"/>
      <c r="R34" s="277">
        <f>SUM(CashPaidOut[[#This Row],[Period 0]:[Period 12]])</f>
        <v>0</v>
      </c>
      <c r="S34" s="296"/>
    </row>
    <row r="35" spans="2:19" ht="17.25" customHeight="1">
      <c r="B35" s="279" t="s">
        <v>41</v>
      </c>
      <c r="C35" s="267"/>
      <c r="D35" s="268"/>
      <c r="E35" s="268"/>
      <c r="F35" s="268"/>
      <c r="G35" s="268"/>
      <c r="H35" s="268"/>
      <c r="I35" s="268"/>
      <c r="J35" s="268"/>
      <c r="K35" s="268"/>
      <c r="L35" s="268"/>
      <c r="M35" s="268"/>
      <c r="N35" s="268"/>
      <c r="O35" s="268"/>
      <c r="P35" s="268" t="s">
        <v>42</v>
      </c>
      <c r="Q35" s="297"/>
      <c r="R35" s="277">
        <f>SUM(CashPaidOut[[#This Row],[Period 0]:[Period 12]])</f>
        <v>0</v>
      </c>
      <c r="S35" s="296"/>
    </row>
    <row r="36" spans="2:19" ht="17.25" customHeight="1">
      <c r="B36" s="279" t="s">
        <v>43</v>
      </c>
      <c r="C36" s="267"/>
      <c r="D36" s="268"/>
      <c r="E36" s="268"/>
      <c r="F36" s="268"/>
      <c r="G36" s="268"/>
      <c r="H36" s="268"/>
      <c r="I36" s="268"/>
      <c r="J36" s="268"/>
      <c r="K36" s="268"/>
      <c r="L36" s="268"/>
      <c r="M36" s="268"/>
      <c r="N36" s="268"/>
      <c r="O36" s="268"/>
      <c r="P36" s="268"/>
      <c r="Q36" s="297"/>
      <c r="R36" s="277">
        <f>SUM(CashPaidOut[[#This Row],[Period 0]:[Period 12]])</f>
        <v>0</v>
      </c>
      <c r="S36" s="296"/>
    </row>
    <row r="37" spans="2:19" ht="17.25" customHeight="1">
      <c r="B37" s="279" t="s">
        <v>44</v>
      </c>
      <c r="C37" s="267"/>
      <c r="D37" s="268"/>
      <c r="E37" s="268"/>
      <c r="F37" s="268"/>
      <c r="G37" s="268"/>
      <c r="H37" s="268"/>
      <c r="I37" s="268"/>
      <c r="J37" s="268"/>
      <c r="K37" s="268"/>
      <c r="L37" s="268"/>
      <c r="M37" s="268"/>
      <c r="N37" s="268"/>
      <c r="O37" s="268"/>
      <c r="P37" s="268"/>
      <c r="Q37" s="297"/>
      <c r="R37" s="277">
        <f>SUM(CashPaidOut[[#This Row],[Period 0]:[Period 12]])</f>
        <v>0</v>
      </c>
      <c r="S37" s="296"/>
    </row>
    <row r="38" spans="2:19" ht="17.25" customHeight="1">
      <c r="B38" s="321" t="s">
        <v>326</v>
      </c>
      <c r="C38" s="267"/>
      <c r="D38" s="268"/>
      <c r="E38" s="268"/>
      <c r="F38" s="268"/>
      <c r="G38" s="268"/>
      <c r="H38" s="268"/>
      <c r="I38" s="268"/>
      <c r="J38" s="268"/>
      <c r="K38" s="268"/>
      <c r="L38" s="268"/>
      <c r="M38" s="268"/>
      <c r="N38" s="268"/>
      <c r="O38" s="268"/>
      <c r="P38" s="268"/>
      <c r="Q38" s="297"/>
      <c r="R38" s="277">
        <f>SUM(CashPaidOut[[#This Row],[Period 0]:[Period 12]])</f>
        <v>0</v>
      </c>
      <c r="S38" s="296"/>
    </row>
    <row r="39" spans="2:19" ht="17.25" customHeight="1">
      <c r="B39" s="279" t="s">
        <v>45</v>
      </c>
      <c r="C39" s="267"/>
      <c r="D39" s="268"/>
      <c r="E39" s="268"/>
      <c r="F39" s="268"/>
      <c r="G39" s="268"/>
      <c r="H39" s="268"/>
      <c r="I39" s="268"/>
      <c r="J39" s="268"/>
      <c r="K39" s="268"/>
      <c r="L39" s="268"/>
      <c r="M39" s="268"/>
      <c r="N39" s="268"/>
      <c r="O39" s="268"/>
      <c r="P39" s="268"/>
      <c r="Q39" s="297"/>
      <c r="R39" s="277">
        <f>SUM(CashPaidOut[[#This Row],[Period 0]:[Period 12]])</f>
        <v>0</v>
      </c>
      <c r="S39" s="296"/>
    </row>
    <row r="40" spans="2:19" ht="17.25" customHeight="1">
      <c r="B40" s="279" t="s">
        <v>46</v>
      </c>
      <c r="C40" s="267"/>
      <c r="D40" s="268"/>
      <c r="E40" s="268"/>
      <c r="F40" s="268"/>
      <c r="G40" s="268"/>
      <c r="H40" s="268"/>
      <c r="I40" s="268"/>
      <c r="J40" s="268"/>
      <c r="K40" s="268"/>
      <c r="L40" s="268"/>
      <c r="M40" s="268"/>
      <c r="N40" s="268"/>
      <c r="O40" s="268"/>
      <c r="P40" s="268"/>
      <c r="Q40" s="297"/>
      <c r="R40" s="277">
        <f>SUM(CashPaidOut[[#This Row],[Period 0]:[Period 12]])</f>
        <v>0</v>
      </c>
      <c r="S40" s="296"/>
    </row>
    <row r="41" spans="2:19" ht="17.25" customHeight="1">
      <c r="B41" s="279" t="s">
        <v>47</v>
      </c>
      <c r="C41" s="267"/>
      <c r="D41" s="268"/>
      <c r="E41" s="268"/>
      <c r="F41" s="268"/>
      <c r="G41" s="268"/>
      <c r="H41" s="268"/>
      <c r="I41" s="268"/>
      <c r="J41" s="268"/>
      <c r="K41" s="268"/>
      <c r="L41" s="268"/>
      <c r="M41" s="268"/>
      <c r="N41" s="268"/>
      <c r="O41" s="268"/>
      <c r="P41" s="268"/>
      <c r="Q41" s="297"/>
      <c r="R41" s="277">
        <f>SUM(CashPaidOut[[#This Row],[Period 0]:[Period 12]])</f>
        <v>0</v>
      </c>
      <c r="S41" s="296"/>
    </row>
    <row r="42" spans="2:19" ht="17.25" customHeight="1">
      <c r="B42" s="279" t="s">
        <v>48</v>
      </c>
      <c r="C42" s="267"/>
      <c r="D42" s="268"/>
      <c r="E42" s="268"/>
      <c r="F42" s="268"/>
      <c r="G42" s="268"/>
      <c r="H42" s="268"/>
      <c r="I42" s="268"/>
      <c r="J42" s="268"/>
      <c r="K42" s="268"/>
      <c r="L42" s="268"/>
      <c r="M42" s="268"/>
      <c r="N42" s="268"/>
      <c r="O42" s="268"/>
      <c r="P42" s="268"/>
      <c r="Q42" s="297"/>
      <c r="R42" s="277">
        <f>SUM(CashPaidOut[[#This Row],[Period 0]:[Period 12]])</f>
        <v>0</v>
      </c>
      <c r="S42" s="296"/>
    </row>
    <row r="43" spans="2:19" ht="17.25" customHeight="1">
      <c r="B43" s="279" t="s">
        <v>49</v>
      </c>
      <c r="C43" s="267"/>
      <c r="D43" s="268"/>
      <c r="E43" s="268"/>
      <c r="F43" s="268"/>
      <c r="G43" s="268"/>
      <c r="H43" s="268"/>
      <c r="I43" s="268"/>
      <c r="J43" s="268"/>
      <c r="K43" s="268"/>
      <c r="L43" s="268"/>
      <c r="M43" s="268"/>
      <c r="N43" s="268"/>
      <c r="O43" s="268"/>
      <c r="P43" s="268"/>
      <c r="Q43" s="297"/>
      <c r="R43" s="277">
        <f>SUM(CashPaidOut[[#This Row],[Period 0]:[Period 12]])</f>
        <v>0</v>
      </c>
      <c r="S43" s="296"/>
    </row>
    <row r="44" spans="2:19" ht="17.25" customHeight="1">
      <c r="B44" s="279" t="s">
        <v>50</v>
      </c>
      <c r="C44" s="267"/>
      <c r="D44" s="268"/>
      <c r="E44" s="268"/>
      <c r="F44" s="268"/>
      <c r="G44" s="268"/>
      <c r="H44" s="268"/>
      <c r="I44" s="268"/>
      <c r="J44" s="268"/>
      <c r="K44" s="268"/>
      <c r="L44" s="268"/>
      <c r="M44" s="268"/>
      <c r="N44" s="268"/>
      <c r="O44" s="268"/>
      <c r="P44" s="268"/>
      <c r="Q44" s="297"/>
      <c r="R44" s="277">
        <f>SUM(CashPaidOut[[#This Row],[Period 0]:[Period 12]])</f>
        <v>0</v>
      </c>
      <c r="S44" s="296"/>
    </row>
    <row r="45" spans="2:19" ht="17.25" customHeight="1">
      <c r="B45" s="279" t="s">
        <v>51</v>
      </c>
      <c r="C45" s="267"/>
      <c r="D45" s="268"/>
      <c r="E45" s="268"/>
      <c r="F45" s="268"/>
      <c r="G45" s="268"/>
      <c r="H45" s="268"/>
      <c r="I45" s="268"/>
      <c r="J45" s="268"/>
      <c r="K45" s="268"/>
      <c r="L45" s="268"/>
      <c r="M45" s="268"/>
      <c r="N45" s="268"/>
      <c r="O45" s="268"/>
      <c r="P45" s="268"/>
      <c r="Q45" s="297"/>
      <c r="R45" s="277">
        <f>SUM(CashPaidOut[[#This Row],[Period 0]:[Period 12]])</f>
        <v>0</v>
      </c>
      <c r="S45" s="296"/>
    </row>
    <row r="46" spans="2:19" ht="17.25" customHeight="1">
      <c r="B46" s="279"/>
      <c r="C46" s="267"/>
      <c r="D46" s="268"/>
      <c r="E46" s="268"/>
      <c r="F46" s="268"/>
      <c r="G46" s="268"/>
      <c r="H46" s="268"/>
      <c r="I46" s="268"/>
      <c r="J46" s="268"/>
      <c r="K46" s="268"/>
      <c r="L46" s="268"/>
      <c r="M46" s="268"/>
      <c r="N46" s="268"/>
      <c r="O46" s="268"/>
      <c r="P46" s="268"/>
      <c r="Q46" s="297"/>
      <c r="R46" s="277">
        <f>SUM(CashPaidOut[[#This Row],[Period 0]:[Period 12]])</f>
        <v>0</v>
      </c>
      <c r="S46" s="296"/>
    </row>
    <row r="47" spans="2:19" ht="17.25" customHeight="1">
      <c r="B47" s="279"/>
      <c r="C47" s="267"/>
      <c r="D47" s="268"/>
      <c r="E47" s="268"/>
      <c r="F47" s="268"/>
      <c r="G47" s="268"/>
      <c r="H47" s="268"/>
      <c r="I47" s="268"/>
      <c r="J47" s="268"/>
      <c r="K47" s="268"/>
      <c r="L47" s="268"/>
      <c r="M47" s="268"/>
      <c r="N47" s="268"/>
      <c r="O47" s="268"/>
      <c r="P47" s="268"/>
      <c r="Q47" s="297"/>
      <c r="R47" s="277">
        <f>SUM(CashPaidOut[[#This Row],[Period 0]:[Period 12]])</f>
        <v>0</v>
      </c>
      <c r="S47" s="296"/>
    </row>
    <row r="48" spans="2:19" ht="17.25" customHeight="1">
      <c r="B48" s="280" t="s">
        <v>16</v>
      </c>
      <c r="C48" s="281"/>
      <c r="D48" s="272">
        <f>SUBTOTAL(109,CashPaidOut[Period 0])</f>
        <v>0</v>
      </c>
      <c r="E48" s="272">
        <f>SUBTOTAL(109,CashPaidOut[Period 1])</f>
        <v>0</v>
      </c>
      <c r="F48" s="272">
        <f>SUBTOTAL(109,CashPaidOut[Period 2])</f>
        <v>0</v>
      </c>
      <c r="G48" s="272">
        <f>SUBTOTAL(109,CashPaidOut[Period 3])</f>
        <v>0</v>
      </c>
      <c r="H48" s="272">
        <f>SUBTOTAL(109,CashPaidOut[Period 4])</f>
        <v>0</v>
      </c>
      <c r="I48" s="272">
        <f>SUBTOTAL(109,CashPaidOut[Period 5])</f>
        <v>0</v>
      </c>
      <c r="J48" s="272">
        <f>SUBTOTAL(109,CashPaidOut[Period 6])</f>
        <v>0</v>
      </c>
      <c r="K48" s="272">
        <f>SUBTOTAL(109,CashPaidOut[Period 7])</f>
        <v>0</v>
      </c>
      <c r="L48" s="272">
        <f>SUBTOTAL(109,CashPaidOut[Period 8])</f>
        <v>0</v>
      </c>
      <c r="M48" s="272">
        <f>SUBTOTAL(109,CashPaidOut[Period 9])</f>
        <v>0</v>
      </c>
      <c r="N48" s="272">
        <f>SUBTOTAL(109,CashPaidOut[Period 10])</f>
        <v>0</v>
      </c>
      <c r="O48" s="272">
        <f>SUBTOTAL(109,CashPaidOut[Period 11])</f>
        <v>0</v>
      </c>
      <c r="P48" s="272">
        <f>SUBTOTAL(109,CashPaidOut[Period 12])</f>
        <v>0</v>
      </c>
      <c r="Q48" s="291"/>
      <c r="R48" s="272">
        <f>SUBTOTAL(109,CashPaidOut[Total])</f>
        <v>0</v>
      </c>
      <c r="S48" s="292"/>
    </row>
    <row r="49" spans="2:19" ht="17.25" customHeight="1">
      <c r="B49" s="276"/>
      <c r="C49" s="274"/>
      <c r="D49" s="277"/>
      <c r="E49" s="277"/>
      <c r="F49" s="277"/>
      <c r="G49" s="277"/>
      <c r="H49" s="277"/>
      <c r="I49" s="277"/>
      <c r="J49" s="277"/>
      <c r="K49" s="277"/>
      <c r="L49" s="277"/>
      <c r="M49" s="277"/>
      <c r="N49" s="277"/>
      <c r="O49" s="277"/>
      <c r="P49" s="277"/>
      <c r="Q49" s="290"/>
      <c r="R49" s="277"/>
    </row>
    <row r="50" spans="2:19" ht="17.25" customHeight="1">
      <c r="B50" s="278" t="s">
        <v>52</v>
      </c>
      <c r="C50" s="274"/>
      <c r="Q50" s="267"/>
    </row>
    <row r="51" spans="2:19" ht="17.25" customHeight="1">
      <c r="B51" s="321" t="s">
        <v>319</v>
      </c>
      <c r="C51" s="267"/>
      <c r="D51" s="268"/>
      <c r="E51" s="268"/>
      <c r="F51" s="268"/>
      <c r="G51" s="268"/>
      <c r="H51" s="268"/>
      <c r="I51" s="268"/>
      <c r="J51" s="268"/>
      <c r="K51" s="268"/>
      <c r="L51" s="268"/>
      <c r="M51" s="268"/>
      <c r="N51" s="268"/>
      <c r="O51" s="268"/>
      <c r="P51" s="268"/>
      <c r="Q51" s="290"/>
      <c r="R51" s="277">
        <f>SUM(CashPaidOut2[[#This Row],[Period 0]:[Period 12]])</f>
        <v>0</v>
      </c>
      <c r="S51" s="295"/>
    </row>
    <row r="52" spans="2:19" ht="17.25" customHeight="1">
      <c r="B52" s="321" t="s">
        <v>320</v>
      </c>
      <c r="C52" s="267"/>
      <c r="D52" s="268"/>
      <c r="E52" s="268"/>
      <c r="F52" s="268"/>
      <c r="G52" s="268"/>
      <c r="H52" s="268"/>
      <c r="I52" s="268"/>
      <c r="J52" s="268"/>
      <c r="K52" s="268"/>
      <c r="L52" s="268"/>
      <c r="M52" s="268"/>
      <c r="N52" s="268"/>
      <c r="O52" s="268"/>
      <c r="P52" s="268"/>
      <c r="Q52" s="290"/>
      <c r="R52" s="277">
        <f>SUM(CashPaidOut2[[#This Row],[Period 0]:[Period 12]])</f>
        <v>0</v>
      </c>
      <c r="S52" s="295"/>
    </row>
    <row r="53" spans="2:19" ht="17.25" customHeight="1">
      <c r="B53" s="279" t="s">
        <v>53</v>
      </c>
      <c r="C53" s="267"/>
      <c r="D53" s="268"/>
      <c r="E53" s="268"/>
      <c r="F53" s="268"/>
      <c r="G53" s="268"/>
      <c r="H53" s="268"/>
      <c r="I53" s="268"/>
      <c r="J53" s="268"/>
      <c r="K53" s="268"/>
      <c r="L53" s="268"/>
      <c r="M53" s="268"/>
      <c r="N53" s="268"/>
      <c r="O53" s="268"/>
      <c r="P53" s="268"/>
      <c r="Q53" s="290"/>
      <c r="R53" s="277">
        <f>SUM(CashPaidOut2[[#This Row],[Period 0]:[Period 12]])</f>
        <v>0</v>
      </c>
      <c r="S53" s="295"/>
    </row>
    <row r="54" spans="2:19" ht="17.25" customHeight="1">
      <c r="B54" s="279" t="s">
        <v>31</v>
      </c>
      <c r="C54" s="267"/>
      <c r="D54" s="268"/>
      <c r="E54" s="268"/>
      <c r="F54" s="268"/>
      <c r="G54" s="268"/>
      <c r="H54" s="268"/>
      <c r="I54" s="268"/>
      <c r="J54" s="268"/>
      <c r="K54" s="268"/>
      <c r="L54" s="268"/>
      <c r="M54" s="268"/>
      <c r="N54" s="268"/>
      <c r="O54" s="268"/>
      <c r="P54" s="268"/>
      <c r="Q54" s="290"/>
      <c r="R54" s="277">
        <f>SUM(CashPaidOut2[[#This Row],[Period 0]:[Period 12]])</f>
        <v>0</v>
      </c>
      <c r="S54" s="295"/>
    </row>
    <row r="55" spans="2:19" ht="17.25" customHeight="1">
      <c r="B55" s="279" t="s">
        <v>32</v>
      </c>
      <c r="C55" s="267"/>
      <c r="D55" s="268"/>
      <c r="E55" s="268"/>
      <c r="F55" s="268"/>
      <c r="G55" s="268"/>
      <c r="H55" s="268"/>
      <c r="I55" s="268"/>
      <c r="J55" s="268"/>
      <c r="K55" s="268"/>
      <c r="L55" s="268"/>
      <c r="M55" s="268"/>
      <c r="N55" s="268"/>
      <c r="O55" s="268"/>
      <c r="P55" s="268"/>
      <c r="Q55" s="290"/>
      <c r="R55" s="277">
        <f>SUM(CashPaidOut2[[#This Row],[Period 0]:[Period 12]])</f>
        <v>0</v>
      </c>
      <c r="S55" s="295"/>
    </row>
    <row r="56" spans="2:19" ht="17.25" customHeight="1">
      <c r="B56" s="276" t="s">
        <v>16</v>
      </c>
      <c r="C56" s="267"/>
      <c r="D56" s="277">
        <f>SUBTOTAL(109,CashPaidOut2[Period 0])</f>
        <v>0</v>
      </c>
      <c r="E56" s="277">
        <f>SUBTOTAL(109,CashPaidOut2[Period 1])</f>
        <v>0</v>
      </c>
      <c r="F56" s="277">
        <f>SUBTOTAL(109,CashPaidOut2[Period 2])</f>
        <v>0</v>
      </c>
      <c r="G56" s="277">
        <f>SUBTOTAL(109,CashPaidOut2[Period 3])</f>
        <v>0</v>
      </c>
      <c r="H56" s="277">
        <f>SUBTOTAL(109,CashPaidOut2[Period 4])</f>
        <v>0</v>
      </c>
      <c r="I56" s="277">
        <f>SUBTOTAL(109,CashPaidOut2[Period 5])</f>
        <v>0</v>
      </c>
      <c r="J56" s="277">
        <f>SUBTOTAL(109,CashPaidOut2[Period 6])</f>
        <v>0</v>
      </c>
      <c r="K56" s="277">
        <f>SUBTOTAL(109,CashPaidOut2[Period 7])</f>
        <v>0</v>
      </c>
      <c r="L56" s="277">
        <f>SUBTOTAL(109,CashPaidOut2[Period 8])</f>
        <v>0</v>
      </c>
      <c r="M56" s="277">
        <f>SUBTOTAL(109,CashPaidOut2[Period 9])</f>
        <v>0</v>
      </c>
      <c r="N56" s="277">
        <f>SUBTOTAL(109,CashPaidOut2[Period 10])</f>
        <v>0</v>
      </c>
      <c r="O56" s="277">
        <f>SUBTOTAL(109,CashPaidOut2[Period 11])</f>
        <v>0</v>
      </c>
      <c r="P56" s="277">
        <f>SUBTOTAL(109,CashPaidOut2[Period 12])</f>
        <v>0</v>
      </c>
      <c r="Q56" s="290"/>
      <c r="R56" s="277">
        <f>SUBTOTAL(109,CashPaidOut2[Total])</f>
        <v>0</v>
      </c>
      <c r="S56" s="250"/>
    </row>
    <row r="57" spans="2:19" ht="17.25" customHeight="1">
      <c r="B57" s="276"/>
      <c r="C57" s="274"/>
      <c r="D57" s="277"/>
      <c r="E57" s="277"/>
      <c r="F57" s="277"/>
      <c r="G57" s="277"/>
      <c r="H57" s="277"/>
      <c r="I57" s="277"/>
      <c r="J57" s="277"/>
      <c r="K57" s="277"/>
      <c r="L57" s="277"/>
      <c r="M57" s="277"/>
      <c r="N57" s="277"/>
      <c r="O57" s="277"/>
      <c r="P57" s="277"/>
      <c r="Q57" s="290"/>
      <c r="R57" s="277"/>
      <c r="S57" s="250"/>
    </row>
    <row r="58" spans="2:19" ht="17.25" customHeight="1">
      <c r="B58" s="278" t="s">
        <v>54</v>
      </c>
      <c r="C58" s="274"/>
      <c r="Q58" s="267"/>
    </row>
    <row r="59" spans="2:19" ht="17.25" customHeight="1">
      <c r="B59" s="279" t="s">
        <v>55</v>
      </c>
      <c r="C59" s="267"/>
      <c r="D59" s="268"/>
      <c r="E59" s="268"/>
      <c r="F59" s="268"/>
      <c r="G59" s="268"/>
      <c r="H59" s="268"/>
      <c r="I59" s="268"/>
      <c r="J59" s="268"/>
      <c r="K59" s="268"/>
      <c r="L59" s="268"/>
      <c r="M59" s="268"/>
      <c r="N59" s="268"/>
      <c r="O59" s="268"/>
      <c r="P59" s="268"/>
      <c r="Q59" s="290"/>
      <c r="R59" s="277">
        <f>SUM(CashPaidOut26[[#This Row],[Period 0]:[Period 12]])</f>
        <v>0</v>
      </c>
      <c r="S59" s="295"/>
    </row>
    <row r="60" spans="2:19" ht="17.25" customHeight="1">
      <c r="B60" s="279" t="s">
        <v>56</v>
      </c>
      <c r="C60" s="267"/>
      <c r="D60" s="268"/>
      <c r="E60" s="268"/>
      <c r="F60" s="268"/>
      <c r="G60" s="268"/>
      <c r="H60" s="268"/>
      <c r="I60" s="268"/>
      <c r="J60" s="268"/>
      <c r="K60" s="268"/>
      <c r="L60" s="268"/>
      <c r="M60" s="268"/>
      <c r="N60" s="268"/>
      <c r="O60" s="268"/>
      <c r="P60" s="268"/>
      <c r="Q60" s="290"/>
      <c r="R60" s="277">
        <f>SUM(CashPaidOut26[[#This Row],[Period 0]:[Period 12]])</f>
        <v>0</v>
      </c>
      <c r="S60" s="295"/>
    </row>
    <row r="61" spans="2:19" ht="17.25" customHeight="1">
      <c r="B61" s="279" t="s">
        <v>30</v>
      </c>
      <c r="C61" s="267"/>
      <c r="D61" s="268"/>
      <c r="E61" s="268"/>
      <c r="F61" s="268"/>
      <c r="G61" s="268"/>
      <c r="H61" s="268"/>
      <c r="I61" s="268"/>
      <c r="J61" s="268"/>
      <c r="K61" s="268"/>
      <c r="L61" s="268"/>
      <c r="M61" s="268"/>
      <c r="N61" s="268"/>
      <c r="O61" s="268"/>
      <c r="P61" s="268"/>
      <c r="Q61" s="290"/>
      <c r="R61" s="277">
        <f>SUM(CashPaidOut26[[#This Row],[Period 0]:[Period 12]])</f>
        <v>0</v>
      </c>
      <c r="S61" s="295"/>
    </row>
    <row r="62" spans="2:19" ht="17.25" customHeight="1">
      <c r="B62" s="279" t="s">
        <v>31</v>
      </c>
      <c r="C62" s="267"/>
      <c r="D62" s="268"/>
      <c r="E62" s="268"/>
      <c r="F62" s="268"/>
      <c r="G62" s="268"/>
      <c r="H62" s="268"/>
      <c r="I62" s="268"/>
      <c r="J62" s="268"/>
      <c r="K62" s="268"/>
      <c r="L62" s="268"/>
      <c r="M62" s="268"/>
      <c r="N62" s="268"/>
      <c r="O62" s="268"/>
      <c r="P62" s="268"/>
      <c r="Q62" s="290"/>
      <c r="R62" s="277">
        <f>SUM(CashPaidOut26[[#This Row],[Period 0]:[Period 12]])</f>
        <v>0</v>
      </c>
      <c r="S62" s="295"/>
    </row>
    <row r="63" spans="2:19" ht="17.25" customHeight="1">
      <c r="B63" s="279" t="s">
        <v>32</v>
      </c>
      <c r="C63" s="267"/>
      <c r="D63" s="268"/>
      <c r="E63" s="268"/>
      <c r="F63" s="268"/>
      <c r="G63" s="268"/>
      <c r="H63" s="268"/>
      <c r="I63" s="268"/>
      <c r="J63" s="268"/>
      <c r="K63" s="268"/>
      <c r="L63" s="268"/>
      <c r="M63" s="268"/>
      <c r="N63" s="268"/>
      <c r="O63" s="268"/>
      <c r="P63" s="268"/>
      <c r="Q63" s="290"/>
      <c r="R63" s="277">
        <f>SUM(CashPaidOut26[[#This Row],[Period 0]:[Period 12]])</f>
        <v>0</v>
      </c>
      <c r="S63" s="295"/>
    </row>
    <row r="64" spans="2:19" ht="17.25" customHeight="1">
      <c r="B64" s="276" t="s">
        <v>16</v>
      </c>
      <c r="C64" s="267"/>
      <c r="D64" s="277">
        <f>SUBTOTAL(109,CashPaidOut26[Period 0])</f>
        <v>0</v>
      </c>
      <c r="E64" s="277">
        <f>SUBTOTAL(109,CashPaidOut26[Period 1])</f>
        <v>0</v>
      </c>
      <c r="F64" s="277">
        <f>SUBTOTAL(109,CashPaidOut26[Period 2])</f>
        <v>0</v>
      </c>
      <c r="G64" s="277">
        <f>SUBTOTAL(109,CashPaidOut26[Period 3])</f>
        <v>0</v>
      </c>
      <c r="H64" s="277">
        <f>SUBTOTAL(109,CashPaidOut26[Period 4])</f>
        <v>0</v>
      </c>
      <c r="I64" s="277">
        <f>SUBTOTAL(109,CashPaidOut26[Period 5])</f>
        <v>0</v>
      </c>
      <c r="J64" s="277">
        <f>SUBTOTAL(109,CashPaidOut26[Period 6])</f>
        <v>0</v>
      </c>
      <c r="K64" s="277">
        <f>SUBTOTAL(109,CashPaidOut26[Period 7])</f>
        <v>0</v>
      </c>
      <c r="L64" s="277">
        <f>SUBTOTAL(109,CashPaidOut26[Period 8])</f>
        <v>0</v>
      </c>
      <c r="M64" s="277">
        <f>SUBTOTAL(109,CashPaidOut26[Period 9])</f>
        <v>0</v>
      </c>
      <c r="N64" s="277">
        <f>SUBTOTAL(109,CashPaidOut26[Period 10])</f>
        <v>0</v>
      </c>
      <c r="O64" s="277">
        <f>SUBTOTAL(109,CashPaidOut26[Period 11])</f>
        <v>0</v>
      </c>
      <c r="P64" s="277">
        <f>SUBTOTAL(109,CashPaidOut26[Period 12])</f>
        <v>0</v>
      </c>
      <c r="Q64" s="290"/>
      <c r="R64" s="277">
        <f>SUBTOTAL(109,CashPaidOut26[Total])</f>
        <v>0</v>
      </c>
      <c r="S64" s="250"/>
    </row>
    <row r="65" spans="2:19" ht="17.25" customHeight="1">
      <c r="B65" s="273" t="s">
        <v>57</v>
      </c>
      <c r="C65" s="274"/>
      <c r="D65" s="275">
        <f>SUM(CashPaidOut[Period 0],CashPaidOut218[Period 0],CashPaidOut2[Period 0])</f>
        <v>0</v>
      </c>
      <c r="E65" s="275">
        <f>SUM(CashPaidOut[Period 1],CashPaidOut2[Period 1],E19:E23)</f>
        <v>0</v>
      </c>
      <c r="F65" s="275">
        <f>SUM(CashPaidOut[Period 2],CashPaidOut2[Period 2])</f>
        <v>0</v>
      </c>
      <c r="G65" s="275">
        <f>SUM(CashPaidOut[Period 3],CashPaidOut2[Period 3])</f>
        <v>0</v>
      </c>
      <c r="H65" s="275">
        <f>SUM(CashPaidOut[Period 4],CashPaidOut2[Period 4])</f>
        <v>0</v>
      </c>
      <c r="I65" s="275">
        <f>SUM(CashPaidOut[Period 5],CashPaidOut2[Period 5])</f>
        <v>0</v>
      </c>
      <c r="J65" s="275">
        <f>SUM(CashPaidOut[Period 6],CashPaidOut2[Period 6])</f>
        <v>0</v>
      </c>
      <c r="K65" s="275">
        <f>SUM(CashPaidOut[Period 7],CashPaidOut2[Period 7])</f>
        <v>0</v>
      </c>
      <c r="L65" s="275">
        <f>SUM(CashPaidOut[Period 8],CashPaidOut2[Period 8])</f>
        <v>0</v>
      </c>
      <c r="M65" s="275">
        <f>SUM(CashPaidOut[Period 9],CashPaidOut2[Period 9])</f>
        <v>0</v>
      </c>
      <c r="N65" s="275">
        <f>SUM(CashPaidOut[Period 10],CashPaidOut2[Period 10])</f>
        <v>0</v>
      </c>
      <c r="O65" s="275">
        <f>SUM(CashPaidOut[Period 11],CashPaidOut2[Period 11])</f>
        <v>0</v>
      </c>
      <c r="P65" s="275">
        <f>SUM(CashPaidOut[Period 12],CashPaidOut2[Period 12])</f>
        <v>0</v>
      </c>
      <c r="Q65" s="274"/>
      <c r="R65" s="275">
        <f>SUM(CashPaidOut[Total],CashPaidOut2[Total])</f>
        <v>0</v>
      </c>
      <c r="S65" s="298"/>
    </row>
    <row r="66" spans="2:19" s="250" customFormat="1" ht="17.25" customHeight="1">
      <c r="B66" s="351"/>
      <c r="C66" s="351"/>
      <c r="D66" s="351"/>
      <c r="E66" s="351"/>
      <c r="F66" s="351"/>
      <c r="G66" s="351"/>
      <c r="H66" s="351"/>
      <c r="I66" s="351"/>
      <c r="J66" s="351"/>
      <c r="K66" s="351"/>
      <c r="L66" s="351"/>
      <c r="M66" s="351"/>
      <c r="N66" s="351"/>
      <c r="O66" s="351"/>
      <c r="P66" s="351"/>
      <c r="Q66" s="351"/>
      <c r="R66" s="351"/>
      <c r="S66" s="351"/>
    </row>
    <row r="67" spans="2:19" ht="17.25" customHeight="1">
      <c r="B67" s="273" t="s">
        <v>58</v>
      </c>
      <c r="C67" s="274"/>
      <c r="D67" s="275">
        <f>D16-D65</f>
        <v>0</v>
      </c>
      <c r="E67" s="275">
        <f>E16-E65</f>
        <v>0</v>
      </c>
      <c r="F67" s="275">
        <f t="shared" ref="F67:P67" si="12">F16-F65</f>
        <v>0</v>
      </c>
      <c r="G67" s="275">
        <f t="shared" si="12"/>
        <v>0</v>
      </c>
      <c r="H67" s="275">
        <f t="shared" si="12"/>
        <v>30000</v>
      </c>
      <c r="I67" s="275">
        <f t="shared" si="12"/>
        <v>30000</v>
      </c>
      <c r="J67" s="275">
        <f t="shared" si="12"/>
        <v>30000</v>
      </c>
      <c r="K67" s="275">
        <f t="shared" si="12"/>
        <v>30000</v>
      </c>
      <c r="L67" s="275">
        <f t="shared" si="12"/>
        <v>30000</v>
      </c>
      <c r="M67" s="275">
        <f t="shared" si="12"/>
        <v>30000</v>
      </c>
      <c r="N67" s="275">
        <f t="shared" si="12"/>
        <v>30000</v>
      </c>
      <c r="O67" s="275">
        <f t="shared" si="12"/>
        <v>30000</v>
      </c>
      <c r="P67" s="275">
        <f t="shared" si="12"/>
        <v>30000</v>
      </c>
      <c r="Q67" s="274"/>
      <c r="R67" s="275">
        <f>R16-R65</f>
        <v>60000</v>
      </c>
      <c r="S67" s="298"/>
    </row>
  </sheetData>
  <mergeCells count="2">
    <mergeCell ref="B25:S25"/>
    <mergeCell ref="B66:S66"/>
  </mergeCells>
  <phoneticPr fontId="105" type="noConversion"/>
  <conditionalFormatting sqref="E6:P6">
    <cfRule type="expression" dxfId="4" priority="3">
      <formula>E6&lt;0</formula>
    </cfRule>
  </conditionalFormatting>
  <conditionalFormatting sqref="E16:P16">
    <cfRule type="expression" dxfId="3" priority="1">
      <formula>E16&lt;0</formula>
    </cfRule>
  </conditionalFormatting>
  <conditionalFormatting sqref="E67:P67">
    <cfRule type="expression" dxfId="2" priority="2">
      <formula>E67&lt;0</formula>
    </cfRule>
  </conditionalFormatting>
  <printOptions horizontalCentered="1" verticalCentered="1"/>
  <pageMargins left="0.25" right="0.25" top="0.75" bottom="0.75" header="0.3" footer="0.3"/>
  <pageSetup scale="72" orientation="landscape"/>
  <legacyDrawing r:id="rId1"/>
  <tableParts count="5">
    <tablePart r:id="rId2"/>
    <tablePart r:id="rId3"/>
    <tablePart r:id="rId4"/>
    <tablePart r:id="rId5"/>
    <tablePart r:id="rId6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6" id="{AEAB4926-4304-433B-B598-3A843DA630FE}">
            <x14:iconSet iconSet="3Flags" custom="1">
              <x14:cfvo type="percent">
                <xm:f>0</xm:f>
              </x14:cfvo>
              <x14:cfvo type="num" gte="0">
                <xm:f>0</xm:f>
              </x14:cfvo>
              <x14:cfvo type="num">
                <xm:f>1</xm:f>
              </x14:cfvo>
              <x14:cfIcon iconSet="3Flags" iconId="0"/>
              <x14:cfIcon iconSet="NoIcons" iconId="0"/>
              <x14:cfIcon iconSet="NoIcons" iconId="0"/>
            </x14:iconSet>
          </x14:cfRule>
          <xm:sqref>D67:P67 R67</xm:sqref>
        </x14:conditionalFormatting>
        <x14:conditionalFormatting xmlns:xm="http://schemas.microsoft.com/office/excel/2006/main">
          <x14:cfRule type="iconSet" priority="5" id="{EC781987-5F5A-4A7B-8BD7-0391F3C44C3C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NoIcons" iconId="0"/>
              <x14:cfIcon iconSet="NoIcons" iconId="0"/>
            </x14:iconSet>
          </x14:cfRule>
          <xm:sqref>D16:R16</xm:sqref>
        </x14:conditionalFormatting>
        <x14:conditionalFormatting xmlns:xm="http://schemas.microsoft.com/office/excel/2006/main">
          <x14:cfRule type="iconSet" priority="4" id="{1C8FB2E8-2A61-4E76-A9D9-9FACF6FE0184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NoIcons" iconId="0"/>
              <x14:cfIcon iconSet="NoIcons" iconId="0"/>
            </x14:iconSet>
          </x14:cfRule>
          <xm:sqref>E6:R6</xm:sqref>
        </x14:conditionalFormatting>
      </x14:conditionalFormattings>
    </ext>
    <ext xmlns:x14="http://schemas.microsoft.com/office/spreadsheetml/2009/9/main" uri="{05C60535-1F16-4fd2-B633-F4F36F0B64E0}">
      <x14:sparklineGroups xmlns:xm="http://schemas.microsoft.com/office/excel/2006/main">
        <x14:sparklineGroup displayEmptyCellsAs="gap" markers="1" xr2:uid="{00000000-0003-0000-0100-000000000000}">
          <x14:colorSeries theme="0" tint="-0.34998626667073579"/>
          <x14:colorNegative theme="9"/>
          <x14:colorAxis rgb="FF000000"/>
          <x14:colorMarkers theme="9"/>
          <x14:colorFirst theme="4"/>
          <x14:colorLast theme="5"/>
          <x14:colorHigh theme="6"/>
          <x14:colorLow theme="7"/>
          <x14:sparklines>
            <x14:sparkline>
              <xm:f>现金流量表!D67:P67</xm:f>
              <xm:sqref>S67</xm:sqref>
            </x14:sparkline>
            <x14:sparkline>
              <xm:f>现金流量表!D16:P16</xm:f>
              <xm:sqref>S16</xm:sqref>
            </x14:sparkline>
            <x14:sparkline>
              <xm:f>现金流量表!D56:P56</xm:f>
              <xm:sqref>S56</xm:sqref>
            </x14:sparkline>
            <x14:sparkline>
              <xm:f>现金流量表!D57:P57</xm:f>
              <xm:sqref>S57</xm:sqref>
            </x14:sparkline>
            <x14:sparkline>
              <xm:f>现金流量表!D65:P65</xm:f>
              <xm:sqref>S65</xm:sqref>
            </x14:sparkline>
            <x14:sparkline>
              <xm:f>现金流量表!D48:P48</xm:f>
              <xm:sqref>S48</xm:sqref>
            </x14:sparkline>
            <x14:sparkline>
              <xm:f>现金流量表!D49:P49</xm:f>
              <xm:sqref>S49</xm:sqref>
            </x14:sparkline>
            <x14:sparkline>
              <xm:f>现金流量表!D6:P6</xm:f>
              <xm:sqref>S6</xm:sqref>
            </x14:sparkline>
            <x14:sparkline>
              <xm:f>现金流量表!D15:P15</xm:f>
              <xm:sqref>S15</xm:sqref>
            </x14:sparkline>
          </x14:sparklines>
        </x14:sparklineGroup>
        <x14:sparklineGroup displayEmptyCellsAs="gap" markers="1" xr2:uid="{00000000-0003-0000-0100-000001000000}">
          <x14:colorSeries theme="0" tint="-0.34998626667073579"/>
          <x14:colorNegative theme="9"/>
          <x14:colorAxis rgb="FF000000"/>
          <x14:colorMarkers theme="9"/>
          <x14:colorFirst theme="4"/>
          <x14:colorLast theme="5"/>
          <x14:colorHigh theme="6"/>
          <x14:colorLow theme="7"/>
          <x14:sparklines>
            <x14:sparkline>
              <xm:f>现金流量表!D24:P24</xm:f>
              <xm:sqref>S24</xm:sqref>
            </x14:sparkline>
            <x14:sparkline>
              <xm:f>现金流量表!D17:P17</xm:f>
              <xm:sqref>S17</xm:sqref>
            </x14:sparkline>
          </x14:sparklines>
        </x14:sparklineGroup>
        <x14:sparklineGroup displayEmptyCellsAs="gap" markers="1" xr2:uid="{00000000-0003-0000-0100-000002000000}">
          <x14:colorSeries theme="0" tint="-0.34998626667073579"/>
          <x14:colorNegative theme="9"/>
          <x14:colorAxis rgb="FF000000"/>
          <x14:colorMarkers theme="9"/>
          <x14:colorFirst theme="4"/>
          <x14:colorLast theme="5"/>
          <x14:colorHigh theme="6"/>
          <x14:colorLow theme="7"/>
          <x14:sparklines>
            <x14:sparkline>
              <xm:f>现金流量表!D64:P64</xm:f>
              <xm:sqref>S64</xm:sqref>
            </x14:sparkline>
          </x14:sparklines>
        </x14:sparklineGroup>
        <x14:sparklineGroup displayEmptyCellsAs="gap" markers="1" xr2:uid="{00000000-0003-0000-0100-000003000000}">
          <x14:colorSeries theme="0" tint="-0.34998626667073579"/>
          <x14:colorNegative theme="9"/>
          <x14:colorAxis rgb="FF000000"/>
          <x14:colorMarkers theme="9"/>
          <x14:colorFirst theme="4"/>
          <x14:colorLast theme="5"/>
          <x14:colorHigh theme="6"/>
          <x14:colorLow theme="7"/>
          <x14:sparklines>
            <x14:sparkline>
              <xm:f>现金流量表!D27:P27</xm:f>
              <xm:sqref>S27</xm:sqref>
            </x14:sparkline>
            <x14:sparkline>
              <xm:f>现金流量表!D28:P28</xm:f>
              <xm:sqref>S28</xm:sqref>
            </x14:sparkline>
            <x14:sparkline>
              <xm:f>现金流量表!D29:P29</xm:f>
              <xm:sqref>S29</xm:sqref>
            </x14:sparkline>
            <x14:sparkline>
              <xm:f>现金流量表!D30:P30</xm:f>
              <xm:sqref>S30</xm:sqref>
            </x14:sparkline>
            <x14:sparkline>
              <xm:f>现金流量表!D31:P31</xm:f>
              <xm:sqref>S31</xm:sqref>
            </x14:sparkline>
            <x14:sparkline>
              <xm:f>现金流量表!D32:P32</xm:f>
              <xm:sqref>S32</xm:sqref>
            </x14:sparkline>
            <x14:sparkline>
              <xm:f>现金流量表!D33:P33</xm:f>
              <xm:sqref>S33</xm:sqref>
            </x14:sparkline>
            <x14:sparkline>
              <xm:f>现金流量表!D34:P34</xm:f>
              <xm:sqref>S34</xm:sqref>
            </x14:sparkline>
            <x14:sparkline>
              <xm:f>现金流量表!D35:P35</xm:f>
              <xm:sqref>S35</xm:sqref>
            </x14:sparkline>
            <x14:sparkline>
              <xm:f>现金流量表!D36:P36</xm:f>
              <xm:sqref>S36</xm:sqref>
            </x14:sparkline>
            <x14:sparkline>
              <xm:f>现金流量表!D37:P37</xm:f>
              <xm:sqref>S37</xm:sqref>
            </x14:sparkline>
            <x14:sparkline>
              <xm:f>现金流量表!D38:P38</xm:f>
              <xm:sqref>S38</xm:sqref>
            </x14:sparkline>
            <x14:sparkline>
              <xm:f>现金流量表!D39:P39</xm:f>
              <xm:sqref>S39</xm:sqref>
            </x14:sparkline>
            <x14:sparkline>
              <xm:f>现金流量表!D40:P40</xm:f>
              <xm:sqref>S40</xm:sqref>
            </x14:sparkline>
            <x14:sparkline>
              <xm:f>现金流量表!D41:P41</xm:f>
              <xm:sqref>S41</xm:sqref>
            </x14:sparkline>
            <x14:sparkline>
              <xm:f>现金流量表!D42:P42</xm:f>
              <xm:sqref>S42</xm:sqref>
            </x14:sparkline>
            <x14:sparkline>
              <xm:f>现金流量表!D43:P43</xm:f>
              <xm:sqref>S43</xm:sqref>
            </x14:sparkline>
            <x14:sparkline>
              <xm:f>现金流量表!D44:P44</xm:f>
              <xm:sqref>S44</xm:sqref>
            </x14:sparkline>
            <x14:sparkline>
              <xm:f>现金流量表!D45:P45</xm:f>
              <xm:sqref>S45</xm:sqref>
            </x14:sparkline>
            <x14:sparkline>
              <xm:f>现金流量表!D46:P46</xm:f>
              <xm:sqref>S46</xm:sqref>
            </x14:sparkline>
            <x14:sparkline>
              <xm:f>现金流量表!D47:P47</xm:f>
              <xm:sqref>S47</xm:sqref>
            </x14:sparkline>
          </x14:sparklines>
        </x14:sparklineGroup>
      </x14:sparklineGroup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4">
    <tabColor theme="4" tint="-0.249977111117893"/>
    <pageSetUpPr autoPageBreaks="0" fitToPage="1"/>
  </sheetPr>
  <dimension ref="A1:J81"/>
  <sheetViews>
    <sheetView showGridLines="0" topLeftCell="A4" zoomScaleSheetLayoutView="30" workbookViewId="0">
      <selection activeCell="B3" sqref="B3"/>
    </sheetView>
  </sheetViews>
  <sheetFormatPr baseColWidth="10" defaultColWidth="8.6640625" defaultRowHeight="14"/>
  <cols>
    <col min="1" max="1" width="1.33203125" style="187" customWidth="1"/>
    <col min="2" max="2" width="30.6640625" customWidth="1"/>
    <col min="3" max="5" width="20.6640625" customWidth="1"/>
    <col min="6" max="6" width="15.6640625" customWidth="1"/>
    <col min="7" max="7" width="30.6640625" customWidth="1"/>
    <col min="8" max="10" width="20.6640625" customWidth="1"/>
    <col min="11" max="11" width="2.6640625" customWidth="1"/>
  </cols>
  <sheetData>
    <row r="1" spans="1:10" s="185" customFormat="1" ht="20" customHeight="1">
      <c r="A1" s="188"/>
      <c r="B1" s="189"/>
      <c r="C1" s="189"/>
      <c r="D1" s="189"/>
      <c r="E1" s="189"/>
      <c r="F1" s="189"/>
      <c r="G1" s="189"/>
      <c r="H1" s="189"/>
      <c r="I1" s="189"/>
      <c r="J1" s="189"/>
    </row>
    <row r="2" spans="1:10" s="185" customFormat="1" ht="95" customHeight="1">
      <c r="A2" s="190"/>
      <c r="B2" s="371" t="s">
        <v>329</v>
      </c>
      <c r="C2" s="372"/>
      <c r="D2" s="372"/>
      <c r="E2" s="372"/>
      <c r="F2" s="372"/>
      <c r="G2" s="372"/>
      <c r="H2" s="372"/>
      <c r="I2" s="247"/>
      <c r="J2" s="247"/>
    </row>
    <row r="3" spans="1:10" ht="15" customHeight="1">
      <c r="A3" s="191"/>
    </row>
    <row r="4" spans="1:10" ht="30" customHeight="1">
      <c r="A4" s="191"/>
      <c r="B4" s="373" t="s">
        <v>59</v>
      </c>
      <c r="C4" s="374"/>
      <c r="D4" s="192"/>
      <c r="E4" s="355" t="s">
        <v>60</v>
      </c>
      <c r="F4" s="355"/>
      <c r="G4" s="355"/>
      <c r="H4" s="367" t="s">
        <v>61</v>
      </c>
    </row>
    <row r="5" spans="1:10" ht="30" customHeight="1">
      <c r="A5" s="191"/>
      <c r="B5" s="193" t="s">
        <v>62</v>
      </c>
      <c r="C5" s="194">
        <v>4300</v>
      </c>
      <c r="E5" s="355"/>
      <c r="F5" s="355"/>
      <c r="G5" s="355"/>
      <c r="H5" s="367"/>
      <c r="I5" s="201"/>
    </row>
    <row r="6" spans="1:10" ht="30" customHeight="1">
      <c r="A6" s="191"/>
      <c r="B6" s="195" t="s">
        <v>63</v>
      </c>
      <c r="C6" s="196">
        <v>300</v>
      </c>
      <c r="E6" s="356" t="s">
        <v>64</v>
      </c>
      <c r="F6" s="356"/>
      <c r="G6" s="356"/>
      <c r="H6" s="368">
        <f>C12-J75</f>
        <v>3064</v>
      </c>
      <c r="I6" s="201"/>
    </row>
    <row r="7" spans="1:10" ht="30" customHeight="1">
      <c r="A7" s="191"/>
      <c r="B7" s="197" t="s">
        <v>65</v>
      </c>
      <c r="C7" s="198">
        <f>SUM(C5:C6)</f>
        <v>4600</v>
      </c>
      <c r="E7" s="356"/>
      <c r="F7" s="356"/>
      <c r="G7" s="356"/>
      <c r="H7" s="368"/>
      <c r="I7" s="201"/>
    </row>
    <row r="8" spans="1:10" ht="30" customHeight="1">
      <c r="A8" s="191"/>
      <c r="E8" s="357" t="s">
        <v>66</v>
      </c>
      <c r="F8" s="357"/>
      <c r="G8" s="357"/>
      <c r="H8" s="369" t="e">
        <f>H6-H4</f>
        <v>#VALUE!</v>
      </c>
      <c r="I8" s="201"/>
    </row>
    <row r="9" spans="1:10" ht="30" customHeight="1">
      <c r="A9" s="191"/>
      <c r="B9" s="373" t="s">
        <v>67</v>
      </c>
      <c r="C9" s="375"/>
      <c r="D9" s="192"/>
      <c r="E9" s="357"/>
      <c r="F9" s="357"/>
      <c r="G9" s="357"/>
      <c r="H9" s="369"/>
      <c r="I9" s="248"/>
    </row>
    <row r="10" spans="1:10" ht="30" customHeight="1">
      <c r="A10" s="191"/>
      <c r="B10" s="195" t="s">
        <v>62</v>
      </c>
      <c r="C10" s="196">
        <v>4000</v>
      </c>
      <c r="I10" s="201"/>
    </row>
    <row r="11" spans="1:10" ht="30" customHeight="1">
      <c r="A11" s="191"/>
      <c r="B11" s="199" t="s">
        <v>63</v>
      </c>
      <c r="C11" s="200">
        <v>300</v>
      </c>
      <c r="E11" s="201"/>
      <c r="H11" s="202"/>
      <c r="I11" s="201"/>
    </row>
    <row r="12" spans="1:10" ht="30" customHeight="1">
      <c r="A12" s="191"/>
      <c r="B12" s="197" t="s">
        <v>68</v>
      </c>
      <c r="C12" s="198">
        <f>SUM(C10:C11)</f>
        <v>4300</v>
      </c>
    </row>
    <row r="13" spans="1:10" ht="38" customHeight="1">
      <c r="A13" s="191"/>
      <c r="B13" s="203"/>
      <c r="C13" s="204"/>
    </row>
    <row r="14" spans="1:10" s="186" customFormat="1" ht="30" customHeight="1">
      <c r="A14" s="205"/>
      <c r="B14" s="206" t="s">
        <v>69</v>
      </c>
      <c r="C14" s="207"/>
      <c r="D14" s="208"/>
      <c r="E14" s="208"/>
      <c r="F14"/>
      <c r="G14" s="209" t="s">
        <v>70</v>
      </c>
      <c r="H14" s="207"/>
      <c r="I14" s="207"/>
      <c r="J14" s="207"/>
    </row>
    <row r="15" spans="1:10" ht="48" customHeight="1">
      <c r="A15" s="191"/>
      <c r="B15" s="210" t="s">
        <v>71</v>
      </c>
      <c r="C15" s="211" t="s">
        <v>72</v>
      </c>
      <c r="D15" s="211" t="s">
        <v>73</v>
      </c>
      <c r="E15" s="212" t="s">
        <v>74</v>
      </c>
      <c r="F15" s="213"/>
      <c r="G15" s="214" t="s">
        <v>71</v>
      </c>
      <c r="H15" s="215" t="s">
        <v>72</v>
      </c>
      <c r="I15" s="215" t="s">
        <v>73</v>
      </c>
      <c r="J15" s="228" t="s">
        <v>74</v>
      </c>
    </row>
    <row r="16" spans="1:10" ht="30" customHeight="1">
      <c r="A16" s="191"/>
      <c r="B16" s="216" t="s">
        <v>75</v>
      </c>
      <c r="C16" s="217">
        <v>1000</v>
      </c>
      <c r="D16" s="217">
        <v>1000</v>
      </c>
      <c r="E16" s="217">
        <f>住房[[#This Row],[预计
费用]]-住房[[#This Row],[实际
费用]]</f>
        <v>0</v>
      </c>
      <c r="F16" s="213"/>
      <c r="G16" s="218" t="s">
        <v>76</v>
      </c>
      <c r="H16" s="219"/>
      <c r="I16" s="219"/>
      <c r="J16" s="219">
        <f>娱乐[[#This Row],[预计
费用]]-娱乐[[#This Row],[实际
费用]]</f>
        <v>0</v>
      </c>
    </row>
    <row r="17" spans="1:10" ht="30" customHeight="1">
      <c r="A17" s="191"/>
      <c r="B17" s="216" t="s">
        <v>77</v>
      </c>
      <c r="C17" s="217">
        <v>54</v>
      </c>
      <c r="D17" s="217">
        <v>100</v>
      </c>
      <c r="E17" s="217">
        <f>住房[[#This Row],[预计
费用]]-住房[[#This Row],[实际
费用]]</f>
        <v>-46</v>
      </c>
      <c r="F17" s="213"/>
      <c r="G17" s="218" t="s">
        <v>78</v>
      </c>
      <c r="H17" s="219"/>
      <c r="I17" s="219"/>
      <c r="J17" s="219">
        <f>娱乐[[#This Row],[预计
费用]]-娱乐[[#This Row],[实际
费用]]</f>
        <v>0</v>
      </c>
    </row>
    <row r="18" spans="1:10" ht="30" customHeight="1">
      <c r="A18" s="191"/>
      <c r="B18" s="216" t="s">
        <v>79</v>
      </c>
      <c r="C18" s="217">
        <v>44</v>
      </c>
      <c r="D18" s="217">
        <v>56</v>
      </c>
      <c r="E18" s="217">
        <f>住房[[#This Row],[预计
费用]]-住房[[#This Row],[实际
费用]]</f>
        <v>-12</v>
      </c>
      <c r="F18" s="213"/>
      <c r="G18" s="218" t="s">
        <v>80</v>
      </c>
      <c r="H18" s="219"/>
      <c r="I18" s="219"/>
      <c r="J18" s="219">
        <f>娱乐[[#This Row],[预计
费用]]-娱乐[[#This Row],[实际
费用]]</f>
        <v>0</v>
      </c>
    </row>
    <row r="19" spans="1:10" ht="30" customHeight="1">
      <c r="A19" s="191"/>
      <c r="B19" s="216" t="s">
        <v>81</v>
      </c>
      <c r="C19" s="217">
        <v>22</v>
      </c>
      <c r="D19" s="217">
        <v>28</v>
      </c>
      <c r="E19" s="217">
        <f>住房[[#This Row],[预计
费用]]-住房[[#This Row],[实际
费用]]</f>
        <v>-6</v>
      </c>
      <c r="F19" s="213"/>
      <c r="G19" s="218" t="s">
        <v>82</v>
      </c>
      <c r="H19" s="219"/>
      <c r="I19" s="219"/>
      <c r="J19" s="219">
        <f>娱乐[[#This Row],[预计
费用]]-娱乐[[#This Row],[实际
费用]]</f>
        <v>0</v>
      </c>
    </row>
    <row r="20" spans="1:10" ht="30" customHeight="1">
      <c r="A20" s="191"/>
      <c r="B20" s="216" t="s">
        <v>83</v>
      </c>
      <c r="C20" s="217">
        <v>8</v>
      </c>
      <c r="D20" s="217">
        <v>8</v>
      </c>
      <c r="E20" s="217">
        <f>住房[[#This Row],[预计
费用]]-住房[[#This Row],[实际
费用]]</f>
        <v>0</v>
      </c>
      <c r="F20" s="213"/>
      <c r="G20" s="218" t="s">
        <v>84</v>
      </c>
      <c r="H20" s="219"/>
      <c r="I20" s="219"/>
      <c r="J20" s="219">
        <f>娱乐[[#This Row],[预计
费用]]-娱乐[[#This Row],[实际
费用]]</f>
        <v>0</v>
      </c>
    </row>
    <row r="21" spans="1:10" ht="30" customHeight="1">
      <c r="A21" s="191"/>
      <c r="B21" s="216" t="s">
        <v>85</v>
      </c>
      <c r="C21" s="217">
        <v>34</v>
      </c>
      <c r="D21" s="217">
        <v>34</v>
      </c>
      <c r="E21" s="217">
        <f>住房[[#This Row],[预计
费用]]-住房[[#This Row],[实际
费用]]</f>
        <v>0</v>
      </c>
      <c r="F21" s="213"/>
      <c r="G21" s="218" t="s">
        <v>86</v>
      </c>
      <c r="H21" s="219"/>
      <c r="I21" s="219"/>
      <c r="J21" s="219">
        <f>娱乐[[#This Row],[预计
费用]]-娱乐[[#This Row],[实际
费用]]</f>
        <v>0</v>
      </c>
    </row>
    <row r="22" spans="1:10" ht="30" customHeight="1">
      <c r="A22" s="191"/>
      <c r="B22" s="216" t="s">
        <v>87</v>
      </c>
      <c r="C22" s="217">
        <v>10</v>
      </c>
      <c r="D22" s="217">
        <v>10</v>
      </c>
      <c r="E22" s="217">
        <f>住房[[#This Row],[预计
费用]]-住房[[#This Row],[实际
费用]]</f>
        <v>0</v>
      </c>
      <c r="F22" s="213"/>
      <c r="G22" s="218" t="s">
        <v>88</v>
      </c>
      <c r="H22" s="219"/>
      <c r="I22" s="219"/>
      <c r="J22" s="219">
        <f>娱乐[[#This Row],[预计
费用]]-娱乐[[#This Row],[实际
费用]]</f>
        <v>0</v>
      </c>
    </row>
    <row r="23" spans="1:10" ht="30" customHeight="1">
      <c r="A23" s="191"/>
      <c r="B23" s="216" t="s">
        <v>89</v>
      </c>
      <c r="C23" s="217">
        <v>23</v>
      </c>
      <c r="D23" s="217">
        <v>0</v>
      </c>
      <c r="E23" s="217">
        <f>住房[[#This Row],[预计
费用]]-住房[[#This Row],[实际
费用]]</f>
        <v>23</v>
      </c>
      <c r="F23" s="213"/>
      <c r="G23" s="218" t="s">
        <v>88</v>
      </c>
      <c r="H23" s="219"/>
      <c r="I23" s="219"/>
      <c r="J23" s="219">
        <f>娱乐[[#This Row],[预计
费用]]-娱乐[[#This Row],[实际
费用]]</f>
        <v>0</v>
      </c>
    </row>
    <row r="24" spans="1:10" ht="30" customHeight="1">
      <c r="A24" s="191"/>
      <c r="B24" s="216" t="s">
        <v>90</v>
      </c>
      <c r="C24" s="217">
        <v>0</v>
      </c>
      <c r="D24" s="217">
        <v>0</v>
      </c>
      <c r="E24" s="217">
        <f>住房[[#This Row],[预计
费用]]-住房[[#This Row],[实际
费用]]</f>
        <v>0</v>
      </c>
      <c r="F24" s="213"/>
      <c r="G24" s="218" t="s">
        <v>88</v>
      </c>
      <c r="H24" s="219"/>
      <c r="I24" s="219"/>
      <c r="J24" s="219">
        <f>娱乐[[#This Row],[预计
费用]]-娱乐[[#This Row],[实际
费用]]</f>
        <v>0</v>
      </c>
    </row>
    <row r="25" spans="1:10" ht="30" customHeight="1">
      <c r="A25" s="191"/>
      <c r="B25" s="216" t="s">
        <v>88</v>
      </c>
      <c r="C25" s="217">
        <v>0</v>
      </c>
      <c r="D25" s="217">
        <v>0</v>
      </c>
      <c r="E25" s="217">
        <f>住房[[#This Row],[预计
费用]]-住房[[#This Row],[实际
费用]]</f>
        <v>0</v>
      </c>
      <c r="F25" s="213"/>
      <c r="G25" s="220" t="s">
        <v>91</v>
      </c>
      <c r="H25" s="221"/>
      <c r="I25" s="221"/>
      <c r="J25" s="231">
        <f>SUBTOTAL(109,娱乐[差额])</f>
        <v>0</v>
      </c>
    </row>
    <row r="26" spans="1:10" ht="30" customHeight="1">
      <c r="A26" s="191"/>
      <c r="B26" s="222" t="s">
        <v>91</v>
      </c>
      <c r="C26" s="223"/>
      <c r="D26" s="223"/>
      <c r="E26" s="217">
        <f>SUBTOTAL(109,住房[差额])</f>
        <v>-41</v>
      </c>
      <c r="F26" s="213"/>
      <c r="G26" s="224"/>
      <c r="H26" s="224"/>
      <c r="I26" s="224"/>
      <c r="J26" s="224"/>
    </row>
    <row r="27" spans="1:10" ht="38" customHeight="1">
      <c r="A27" s="191"/>
      <c r="B27" s="225"/>
      <c r="C27" s="226"/>
      <c r="D27" s="226"/>
      <c r="E27" s="226"/>
      <c r="F27" s="213"/>
      <c r="G27" s="224"/>
      <c r="H27" s="224"/>
      <c r="I27" s="224"/>
      <c r="J27" s="224"/>
    </row>
    <row r="28" spans="1:10" s="186" customFormat="1" ht="30" customHeight="1">
      <c r="A28" s="191"/>
      <c r="B28" s="361" t="s">
        <v>92</v>
      </c>
      <c r="C28" s="362"/>
      <c r="D28" s="362"/>
      <c r="E28" s="362"/>
      <c r="F28" s="213"/>
      <c r="G28" s="363" t="s">
        <v>93</v>
      </c>
      <c r="H28" s="363"/>
      <c r="I28" s="363"/>
      <c r="J28" s="363"/>
    </row>
    <row r="29" spans="1:10" ht="48" customHeight="1">
      <c r="A29" s="191"/>
      <c r="B29" s="227" t="s">
        <v>71</v>
      </c>
      <c r="C29" s="215" t="s">
        <v>72</v>
      </c>
      <c r="D29" s="215" t="s">
        <v>73</v>
      </c>
      <c r="E29" s="228" t="s">
        <v>74</v>
      </c>
      <c r="F29" s="213"/>
      <c r="G29" s="229" t="s">
        <v>71</v>
      </c>
      <c r="H29" s="215" t="s">
        <v>72</v>
      </c>
      <c r="I29" s="215" t="s">
        <v>73</v>
      </c>
      <c r="J29" s="228" t="s">
        <v>74</v>
      </c>
    </row>
    <row r="30" spans="1:10" ht="30" customHeight="1">
      <c r="A30" s="191"/>
      <c r="B30" s="218" t="s">
        <v>94</v>
      </c>
      <c r="C30" s="219"/>
      <c r="D30" s="219"/>
      <c r="E30" s="219">
        <f>交通[[#This Row],[预计
费用]]-交通[[#This Row],[实际
费用]]</f>
        <v>0</v>
      </c>
      <c r="F30" s="213"/>
      <c r="G30" s="218" t="s">
        <v>95</v>
      </c>
      <c r="H30" s="219"/>
      <c r="I30" s="219"/>
      <c r="J30" s="219">
        <f>贷款[[#This Row],[预计
费用]]-贷款[[#This Row],[实际
费用]]</f>
        <v>0</v>
      </c>
    </row>
    <row r="31" spans="1:10" ht="30" customHeight="1">
      <c r="A31" s="191"/>
      <c r="B31" s="218" t="s">
        <v>96</v>
      </c>
      <c r="C31" s="219"/>
      <c r="D31" s="219"/>
      <c r="E31" s="219">
        <f>交通[[#This Row],[预计
费用]]-交通[[#This Row],[实际
费用]]</f>
        <v>0</v>
      </c>
      <c r="F31" s="213"/>
      <c r="G31" s="218" t="s">
        <v>97</v>
      </c>
      <c r="H31" s="219"/>
      <c r="I31" s="219"/>
      <c r="J31" s="219">
        <f>贷款[[#This Row],[预计
费用]]-贷款[[#This Row],[实际
费用]]</f>
        <v>0</v>
      </c>
    </row>
    <row r="32" spans="1:10" ht="30" customHeight="1">
      <c r="A32" s="191"/>
      <c r="B32" s="218" t="s">
        <v>98</v>
      </c>
      <c r="C32" s="219"/>
      <c r="D32" s="219"/>
      <c r="E32" s="219">
        <f>交通[[#This Row],[预计
费用]]-交通[[#This Row],[实际
费用]]</f>
        <v>0</v>
      </c>
      <c r="F32" s="213"/>
      <c r="G32" s="218" t="s">
        <v>35</v>
      </c>
      <c r="H32" s="219"/>
      <c r="I32" s="219"/>
      <c r="J32" s="219">
        <f>贷款[[#This Row],[预计
费用]]-贷款[[#This Row],[实际
费用]]</f>
        <v>0</v>
      </c>
    </row>
    <row r="33" spans="1:10" ht="30" customHeight="1">
      <c r="A33" s="191"/>
      <c r="B33" s="218" t="s">
        <v>99</v>
      </c>
      <c r="C33" s="219"/>
      <c r="D33" s="219"/>
      <c r="E33" s="219">
        <f>交通[[#This Row],[预计
费用]]-交通[[#This Row],[实际
费用]]</f>
        <v>0</v>
      </c>
      <c r="F33" s="213"/>
      <c r="G33" s="218" t="s">
        <v>35</v>
      </c>
      <c r="H33" s="219"/>
      <c r="I33" s="219"/>
      <c r="J33" s="219">
        <f>贷款[[#This Row],[预计
费用]]-贷款[[#This Row],[实际
费用]]</f>
        <v>0</v>
      </c>
    </row>
    <row r="34" spans="1:10" ht="30" customHeight="1">
      <c r="A34" s="191"/>
      <c r="B34" s="218" t="s">
        <v>100</v>
      </c>
      <c r="C34" s="219"/>
      <c r="D34" s="219"/>
      <c r="E34" s="219">
        <f>交通[[#This Row],[预计
费用]]-交通[[#This Row],[实际
费用]]</f>
        <v>0</v>
      </c>
      <c r="F34" s="213"/>
      <c r="G34" s="218" t="s">
        <v>35</v>
      </c>
      <c r="H34" s="219"/>
      <c r="I34" s="219"/>
      <c r="J34" s="219">
        <f>贷款[[#This Row],[预计
费用]]-贷款[[#This Row],[实际
费用]]</f>
        <v>0</v>
      </c>
    </row>
    <row r="35" spans="1:10" ht="30" customHeight="1">
      <c r="A35" s="191"/>
      <c r="B35" s="218" t="s">
        <v>101</v>
      </c>
      <c r="C35" s="219"/>
      <c r="D35" s="219"/>
      <c r="E35" s="219">
        <f>交通[[#This Row],[预计
费用]]-交通[[#This Row],[实际
费用]]</f>
        <v>0</v>
      </c>
      <c r="F35" s="213"/>
      <c r="G35" s="218" t="s">
        <v>88</v>
      </c>
      <c r="H35" s="219"/>
      <c r="I35" s="219"/>
      <c r="J35" s="219">
        <f>贷款[[#This Row],[预计
费用]]-贷款[[#This Row],[实际
费用]]</f>
        <v>0</v>
      </c>
    </row>
    <row r="36" spans="1:10" ht="30" customHeight="1">
      <c r="A36" s="191"/>
      <c r="B36" s="218" t="s">
        <v>88</v>
      </c>
      <c r="C36" s="219"/>
      <c r="D36" s="219"/>
      <c r="E36" s="219">
        <f>交通[[#This Row],[预计
费用]]-交通[[#This Row],[实际
费用]]</f>
        <v>0</v>
      </c>
      <c r="F36" s="213"/>
      <c r="G36" s="220" t="s">
        <v>91</v>
      </c>
      <c r="H36" s="230"/>
      <c r="I36" s="230"/>
      <c r="J36" s="231">
        <f>SUBTOTAL(109,贷款[差额])</f>
        <v>0</v>
      </c>
    </row>
    <row r="37" spans="1:10" ht="30" customHeight="1">
      <c r="A37" s="191"/>
      <c r="B37" s="220" t="s">
        <v>91</v>
      </c>
      <c r="C37" s="230"/>
      <c r="D37" s="230"/>
      <c r="E37" s="231">
        <f>SUBTOTAL(109,交通[差额])</f>
        <v>0</v>
      </c>
      <c r="F37" s="213"/>
      <c r="G37" s="225"/>
      <c r="H37" s="232"/>
      <c r="I37" s="232"/>
      <c r="J37" s="232"/>
    </row>
    <row r="38" spans="1:10" ht="38" customHeight="1">
      <c r="A38" s="191"/>
      <c r="B38" s="233"/>
      <c r="C38" s="234"/>
      <c r="D38" s="234"/>
      <c r="E38" s="226"/>
      <c r="F38" s="213"/>
      <c r="G38" s="370"/>
      <c r="H38" s="370"/>
      <c r="I38" s="370"/>
      <c r="J38" s="370"/>
    </row>
    <row r="39" spans="1:10" s="186" customFormat="1" ht="30" customHeight="1">
      <c r="A39" s="191"/>
      <c r="B39" s="363" t="s">
        <v>98</v>
      </c>
      <c r="C39" s="364"/>
      <c r="D39" s="364"/>
      <c r="E39" s="364"/>
      <c r="F39" s="213"/>
      <c r="G39" s="363" t="s">
        <v>102</v>
      </c>
      <c r="H39" s="364"/>
      <c r="I39" s="364"/>
      <c r="J39" s="364"/>
    </row>
    <row r="40" spans="1:10" ht="48" customHeight="1">
      <c r="A40" s="191"/>
      <c r="B40" s="229" t="s">
        <v>71</v>
      </c>
      <c r="C40" s="215" t="s">
        <v>72</v>
      </c>
      <c r="D40" s="215" t="s">
        <v>73</v>
      </c>
      <c r="E40" s="228" t="s">
        <v>74</v>
      </c>
      <c r="F40" s="213"/>
      <c r="G40" s="214" t="s">
        <v>71</v>
      </c>
      <c r="H40" s="215" t="s">
        <v>72</v>
      </c>
      <c r="I40" s="215" t="s">
        <v>73</v>
      </c>
      <c r="J40" s="228" t="s">
        <v>74</v>
      </c>
    </row>
    <row r="41" spans="1:10" ht="30" customHeight="1">
      <c r="A41" s="191"/>
      <c r="B41" s="218" t="s">
        <v>103</v>
      </c>
      <c r="C41" s="219"/>
      <c r="D41" s="219"/>
      <c r="E41" s="219">
        <f>保险[[#This Row],[预计
费用]]-保险[[#This Row],[实际
费用]]</f>
        <v>0</v>
      </c>
      <c r="F41" s="213"/>
      <c r="G41" s="218" t="s">
        <v>104</v>
      </c>
      <c r="H41" s="219"/>
      <c r="I41" s="219"/>
      <c r="J41" s="219">
        <f>税款[[#This Row],[预计
费用]]-税款[[#This Row],[实际
费用]]</f>
        <v>0</v>
      </c>
    </row>
    <row r="42" spans="1:10" ht="30" customHeight="1">
      <c r="A42" s="191"/>
      <c r="B42" s="218" t="s">
        <v>105</v>
      </c>
      <c r="C42" s="219"/>
      <c r="D42" s="219"/>
      <c r="E42" s="219">
        <f>保险[[#This Row],[预计
费用]]-保险[[#This Row],[实际
费用]]</f>
        <v>0</v>
      </c>
      <c r="F42" s="213"/>
      <c r="G42" s="218" t="s">
        <v>106</v>
      </c>
      <c r="H42" s="219"/>
      <c r="I42" s="219"/>
      <c r="J42" s="219">
        <f>税款[[#This Row],[预计
费用]]-税款[[#This Row],[实际
费用]]</f>
        <v>0</v>
      </c>
    </row>
    <row r="43" spans="1:10" ht="30" customHeight="1">
      <c r="A43" s="191"/>
      <c r="B43" s="218" t="s">
        <v>107</v>
      </c>
      <c r="C43" s="219"/>
      <c r="D43" s="219"/>
      <c r="E43" s="219">
        <f>保险[[#This Row],[预计
费用]]-保险[[#This Row],[实际
费用]]</f>
        <v>0</v>
      </c>
      <c r="F43" s="213"/>
      <c r="G43" s="218" t="s">
        <v>108</v>
      </c>
      <c r="H43" s="219"/>
      <c r="I43" s="219"/>
      <c r="J43" s="219">
        <f>税款[[#This Row],[预计
费用]]-税款[[#This Row],[实际
费用]]</f>
        <v>0</v>
      </c>
    </row>
    <row r="44" spans="1:10" ht="30" customHeight="1">
      <c r="A44" s="191"/>
      <c r="B44" s="218" t="s">
        <v>88</v>
      </c>
      <c r="C44" s="219"/>
      <c r="D44" s="219"/>
      <c r="E44" s="219">
        <f>保险[[#This Row],[预计
费用]]-保险[[#This Row],[实际
费用]]</f>
        <v>0</v>
      </c>
      <c r="F44" s="213"/>
      <c r="G44" s="218" t="s">
        <v>88</v>
      </c>
      <c r="H44" s="219"/>
      <c r="I44" s="219"/>
      <c r="J44" s="219">
        <f>税款[[#This Row],[预计
费用]]-税款[[#This Row],[实际
费用]]</f>
        <v>0</v>
      </c>
    </row>
    <row r="45" spans="1:10" ht="30" customHeight="1">
      <c r="A45" s="191"/>
      <c r="B45" s="220" t="s">
        <v>91</v>
      </c>
      <c r="C45" s="235"/>
      <c r="D45" s="235"/>
      <c r="E45" s="231">
        <f>SUBTOTAL(109,保险[差额])</f>
        <v>0</v>
      </c>
      <c r="F45" s="213"/>
      <c r="G45" s="220" t="s">
        <v>91</v>
      </c>
      <c r="H45" s="230"/>
      <c r="I45" s="230"/>
      <c r="J45" s="231">
        <f>SUBTOTAL(109,税款[差额])</f>
        <v>0</v>
      </c>
    </row>
    <row r="46" spans="1:10" ht="38" customHeight="1">
      <c r="A46" s="191"/>
      <c r="B46" s="236"/>
      <c r="C46" s="237"/>
      <c r="D46" s="237"/>
      <c r="E46" s="219"/>
      <c r="F46" s="213"/>
      <c r="G46" s="224"/>
      <c r="H46" s="224"/>
      <c r="I46" s="224"/>
      <c r="J46" s="224"/>
    </row>
    <row r="47" spans="1:10" s="186" customFormat="1" ht="30" customHeight="1">
      <c r="A47" s="191"/>
      <c r="B47" s="361" t="s">
        <v>109</v>
      </c>
      <c r="C47" s="362"/>
      <c r="D47" s="362"/>
      <c r="E47" s="362"/>
      <c r="F47" s="213"/>
      <c r="G47" s="363" t="s">
        <v>110</v>
      </c>
      <c r="H47" s="364"/>
      <c r="I47" s="364"/>
      <c r="J47" s="364"/>
    </row>
    <row r="48" spans="1:10" ht="50" customHeight="1">
      <c r="A48" s="191"/>
      <c r="B48" s="238" t="s">
        <v>71</v>
      </c>
      <c r="C48" s="215" t="s">
        <v>72</v>
      </c>
      <c r="D48" s="215" t="s">
        <v>73</v>
      </c>
      <c r="E48" s="228" t="s">
        <v>74</v>
      </c>
      <c r="F48" s="213"/>
      <c r="G48" s="214" t="s">
        <v>71</v>
      </c>
      <c r="H48" s="215" t="s">
        <v>72</v>
      </c>
      <c r="I48" s="215" t="s">
        <v>73</v>
      </c>
      <c r="J48" s="228" t="s">
        <v>74</v>
      </c>
    </row>
    <row r="49" spans="1:10" ht="30" customHeight="1">
      <c r="A49" s="191"/>
      <c r="B49" s="218" t="s">
        <v>111</v>
      </c>
      <c r="C49" s="219"/>
      <c r="D49" s="219"/>
      <c r="E49" s="219">
        <f>食品[[#This Row],[预计
费用]]-食品[[#This Row],[实际
费用]]</f>
        <v>0</v>
      </c>
      <c r="F49" s="213"/>
      <c r="G49" s="218" t="s">
        <v>112</v>
      </c>
      <c r="H49" s="219"/>
      <c r="I49" s="219"/>
      <c r="J49" s="219">
        <f>存款[[#This Row],[预计
费用]]-存款[[#This Row],[实际
费用]]</f>
        <v>0</v>
      </c>
    </row>
    <row r="50" spans="1:10" ht="30" customHeight="1">
      <c r="A50" s="191"/>
      <c r="B50" s="218" t="s">
        <v>113</v>
      </c>
      <c r="C50" s="219"/>
      <c r="D50" s="219"/>
      <c r="E50" s="219">
        <f>食品[[#This Row],[预计
费用]]-食品[[#This Row],[实际
费用]]</f>
        <v>0</v>
      </c>
      <c r="F50" s="213"/>
      <c r="G50" s="218" t="s">
        <v>114</v>
      </c>
      <c r="H50" s="219"/>
      <c r="I50" s="219"/>
      <c r="J50" s="219">
        <f>存款[[#This Row],[预计
费用]]-存款[[#This Row],[实际
费用]]</f>
        <v>0</v>
      </c>
    </row>
    <row r="51" spans="1:10" ht="30" customHeight="1">
      <c r="A51" s="191"/>
      <c r="B51" s="218" t="s">
        <v>88</v>
      </c>
      <c r="C51" s="219"/>
      <c r="D51" s="219"/>
      <c r="E51" s="219">
        <f>食品[[#This Row],[预计
费用]]-食品[[#This Row],[实际
费用]]</f>
        <v>0</v>
      </c>
      <c r="F51" s="213"/>
      <c r="G51" s="218" t="s">
        <v>88</v>
      </c>
      <c r="H51" s="219"/>
      <c r="I51" s="219"/>
      <c r="J51" s="219">
        <f>存款[[#This Row],[预计
费用]]-存款[[#This Row],[实际
费用]]</f>
        <v>0</v>
      </c>
    </row>
    <row r="52" spans="1:10" ht="30" customHeight="1">
      <c r="A52" s="191"/>
      <c r="B52" s="220" t="s">
        <v>91</v>
      </c>
      <c r="C52" s="235"/>
      <c r="D52" s="235"/>
      <c r="E52" s="231">
        <f>SUBTOTAL(109,食品[差额])</f>
        <v>0</v>
      </c>
      <c r="F52" s="213"/>
      <c r="G52" s="220" t="s">
        <v>91</v>
      </c>
      <c r="H52" s="230"/>
      <c r="I52" s="230"/>
      <c r="J52" s="231">
        <f>SUBTOTAL(109,存款[差额])</f>
        <v>0</v>
      </c>
    </row>
    <row r="53" spans="1:10" ht="38" customHeight="1">
      <c r="A53" s="191"/>
      <c r="B53" s="239"/>
      <c r="C53" s="232"/>
      <c r="D53" s="232"/>
      <c r="E53" s="232"/>
      <c r="F53" s="213"/>
      <c r="G53" s="240"/>
      <c r="H53" s="241"/>
      <c r="I53" s="241"/>
      <c r="J53" s="241"/>
    </row>
    <row r="54" spans="1:10" s="186" customFormat="1" ht="30" customHeight="1">
      <c r="A54" s="191"/>
      <c r="B54" s="361" t="s">
        <v>44</v>
      </c>
      <c r="C54" s="362"/>
      <c r="D54" s="362"/>
      <c r="E54" s="362"/>
      <c r="F54" s="213"/>
      <c r="G54" s="363" t="s">
        <v>115</v>
      </c>
      <c r="H54" s="364"/>
      <c r="I54" s="364"/>
      <c r="J54" s="364"/>
    </row>
    <row r="55" spans="1:10" ht="48" customHeight="1">
      <c r="A55" s="191"/>
      <c r="B55" s="242" t="s">
        <v>71</v>
      </c>
      <c r="C55" s="215" t="s">
        <v>72</v>
      </c>
      <c r="D55" s="215" t="s">
        <v>73</v>
      </c>
      <c r="E55" s="228" t="s">
        <v>74</v>
      </c>
      <c r="F55" s="213"/>
      <c r="G55" s="229" t="s">
        <v>71</v>
      </c>
      <c r="H55" s="215" t="s">
        <v>72</v>
      </c>
      <c r="I55" s="215" t="s">
        <v>73</v>
      </c>
      <c r="J55" s="228" t="s">
        <v>74</v>
      </c>
    </row>
    <row r="56" spans="1:10" ht="30" customHeight="1">
      <c r="A56" s="191"/>
      <c r="B56" s="218" t="s">
        <v>109</v>
      </c>
      <c r="C56" s="219"/>
      <c r="D56" s="219"/>
      <c r="E56" s="219">
        <f>宠物[[#This Row],[预计
费用]]-宠物[[#This Row],[实际
费用]]</f>
        <v>0</v>
      </c>
      <c r="F56" s="213"/>
      <c r="G56" s="218" t="s">
        <v>116</v>
      </c>
      <c r="H56" s="219"/>
      <c r="I56" s="219"/>
      <c r="J56" s="219">
        <f>礼品[[#This Row],[预计
费用]]-礼品[[#This Row],[实际
费用]]</f>
        <v>0</v>
      </c>
    </row>
    <row r="57" spans="1:10" ht="30" customHeight="1">
      <c r="A57" s="191"/>
      <c r="B57" s="218" t="s">
        <v>117</v>
      </c>
      <c r="C57" s="219"/>
      <c r="D57" s="219"/>
      <c r="E57" s="219">
        <f>宠物[[#This Row],[预计
费用]]-宠物[[#This Row],[实际
费用]]</f>
        <v>0</v>
      </c>
      <c r="F57" s="213"/>
      <c r="G57" s="218" t="s">
        <v>118</v>
      </c>
      <c r="H57" s="219"/>
      <c r="I57" s="219"/>
      <c r="J57" s="219">
        <f>礼品[[#This Row],[预计
费用]]-礼品[[#This Row],[实际
费用]]</f>
        <v>0</v>
      </c>
    </row>
    <row r="58" spans="1:10" ht="30" customHeight="1">
      <c r="A58" s="191"/>
      <c r="B58" s="218" t="s">
        <v>119</v>
      </c>
      <c r="C58" s="219"/>
      <c r="D58" s="219"/>
      <c r="E58" s="219">
        <f>宠物[[#This Row],[预计
费用]]-宠物[[#This Row],[实际
费用]]</f>
        <v>0</v>
      </c>
      <c r="F58" s="213"/>
      <c r="G58" s="218" t="s">
        <v>120</v>
      </c>
      <c r="H58" s="219"/>
      <c r="I58" s="219"/>
      <c r="J58" s="219">
        <f>礼品[[#This Row],[预计
费用]]-礼品[[#This Row],[实际
费用]]</f>
        <v>0</v>
      </c>
    </row>
    <row r="59" spans="1:10" ht="30" customHeight="1">
      <c r="A59" s="191"/>
      <c r="B59" s="218" t="s">
        <v>121</v>
      </c>
      <c r="C59" s="219"/>
      <c r="D59" s="219"/>
      <c r="E59" s="219">
        <f>宠物[[#This Row],[预计
费用]]-宠物[[#This Row],[实际
费用]]</f>
        <v>0</v>
      </c>
      <c r="F59" s="213"/>
      <c r="G59" s="220" t="s">
        <v>91</v>
      </c>
      <c r="H59" s="235"/>
      <c r="I59" s="235"/>
      <c r="J59" s="231">
        <f>SUBTOTAL(109,礼品[差额])</f>
        <v>0</v>
      </c>
    </row>
    <row r="60" spans="1:10" ht="30" customHeight="1">
      <c r="A60" s="191"/>
      <c r="B60" s="218" t="s">
        <v>88</v>
      </c>
      <c r="C60" s="219"/>
      <c r="D60" s="219"/>
      <c r="E60" s="219">
        <f>宠物[[#This Row],[预计
费用]]-宠物[[#This Row],[实际
费用]]</f>
        <v>0</v>
      </c>
      <c r="F60" s="213"/>
      <c r="G60" s="225"/>
      <c r="H60" s="234"/>
      <c r="I60" s="234"/>
      <c r="J60" s="226"/>
    </row>
    <row r="61" spans="1:10" ht="30" customHeight="1">
      <c r="A61" s="191"/>
      <c r="B61" s="220" t="s">
        <v>91</v>
      </c>
      <c r="C61" s="243"/>
      <c r="D61" s="243"/>
      <c r="E61" s="243">
        <f>SUBTOTAL(109,宠物[差额])</f>
        <v>0</v>
      </c>
      <c r="F61" s="213"/>
      <c r="G61" s="225"/>
      <c r="H61" s="234"/>
      <c r="I61" s="234"/>
      <c r="J61" s="226"/>
    </row>
    <row r="62" spans="1:10" ht="38" customHeight="1">
      <c r="A62" s="191"/>
      <c r="B62" s="233"/>
      <c r="C62" s="244"/>
      <c r="D62" s="244"/>
      <c r="E62" s="244"/>
      <c r="F62" s="213"/>
      <c r="G62" s="245"/>
      <c r="H62" s="234"/>
      <c r="I62" s="234"/>
      <c r="J62" s="234"/>
    </row>
    <row r="63" spans="1:10" s="186" customFormat="1" ht="30" customHeight="1">
      <c r="A63" s="191"/>
      <c r="B63" s="365" t="s">
        <v>122</v>
      </c>
      <c r="C63" s="366"/>
      <c r="D63" s="366"/>
      <c r="E63" s="366"/>
      <c r="F63" s="213"/>
      <c r="G63" s="361" t="s">
        <v>123</v>
      </c>
      <c r="H63" s="362"/>
      <c r="I63" s="362"/>
      <c r="J63" s="362"/>
    </row>
    <row r="64" spans="1:10" ht="48" customHeight="1">
      <c r="A64" s="191"/>
      <c r="B64" s="214" t="s">
        <v>71</v>
      </c>
      <c r="C64" s="215" t="s">
        <v>72</v>
      </c>
      <c r="D64" s="215" t="s">
        <v>73</v>
      </c>
      <c r="E64" s="228" t="s">
        <v>74</v>
      </c>
      <c r="F64" s="213"/>
      <c r="G64" s="246" t="s">
        <v>123</v>
      </c>
      <c r="H64" s="215" t="s">
        <v>72</v>
      </c>
      <c r="I64" s="215" t="s">
        <v>73</v>
      </c>
      <c r="J64" s="228" t="s">
        <v>74</v>
      </c>
    </row>
    <row r="65" spans="1:10" ht="30" customHeight="1">
      <c r="A65" s="191"/>
      <c r="B65" s="218" t="s">
        <v>117</v>
      </c>
      <c r="C65" s="219"/>
      <c r="D65" s="219"/>
      <c r="E65" s="219">
        <f>个人护理[[#This Row],[预计
费用]]-个人护理[[#This Row],[实际
费用]]</f>
        <v>0</v>
      </c>
      <c r="F65" s="213"/>
      <c r="G65" s="218" t="s">
        <v>124</v>
      </c>
      <c r="H65" s="219"/>
      <c r="I65" s="219"/>
      <c r="J65" s="219">
        <f>法务[[#This Row],[预计
费用]]-法务[[#This Row],[实际
费用]]</f>
        <v>0</v>
      </c>
    </row>
    <row r="66" spans="1:10" ht="30" customHeight="1">
      <c r="A66" s="191"/>
      <c r="B66" s="218" t="s">
        <v>125</v>
      </c>
      <c r="C66" s="219"/>
      <c r="D66" s="219"/>
      <c r="E66" s="219">
        <f>个人护理[[#This Row],[预计
费用]]-个人护理[[#This Row],[实际
费用]]</f>
        <v>0</v>
      </c>
      <c r="F66" s="213"/>
      <c r="G66" s="218" t="s">
        <v>126</v>
      </c>
      <c r="H66" s="219"/>
      <c r="I66" s="219"/>
      <c r="J66" s="219">
        <f>法务[[#This Row],[预计
费用]]-法务[[#This Row],[实际
费用]]</f>
        <v>0</v>
      </c>
    </row>
    <row r="67" spans="1:10" ht="30" customHeight="1">
      <c r="A67" s="191"/>
      <c r="B67" s="218" t="s">
        <v>127</v>
      </c>
      <c r="C67" s="219"/>
      <c r="D67" s="219"/>
      <c r="E67" s="219">
        <f>个人护理[[#This Row],[预计
费用]]-个人护理[[#This Row],[实际
费用]]</f>
        <v>0</v>
      </c>
      <c r="F67" s="213"/>
      <c r="G67" s="218" t="s">
        <v>128</v>
      </c>
      <c r="H67" s="219"/>
      <c r="I67" s="219"/>
      <c r="J67" s="219">
        <f>法务[[#This Row],[预计
费用]]-法务[[#This Row],[实际
费用]]</f>
        <v>0</v>
      </c>
    </row>
    <row r="68" spans="1:10" ht="30" customHeight="1">
      <c r="A68" s="191"/>
      <c r="B68" s="218" t="s">
        <v>129</v>
      </c>
      <c r="C68" s="219"/>
      <c r="D68" s="219"/>
      <c r="E68" s="219">
        <f>个人护理[[#This Row],[预计
费用]]-个人护理[[#This Row],[实际
费用]]</f>
        <v>0</v>
      </c>
      <c r="F68" s="213"/>
      <c r="G68" s="218" t="s">
        <v>88</v>
      </c>
      <c r="H68" s="219"/>
      <c r="I68" s="219"/>
      <c r="J68" s="219">
        <f>法务[[#This Row],[预计
费用]]-法务[[#This Row],[实际
费用]]</f>
        <v>0</v>
      </c>
    </row>
    <row r="69" spans="1:10" ht="30" customHeight="1">
      <c r="A69" s="191"/>
      <c r="B69" s="218" t="s">
        <v>130</v>
      </c>
      <c r="C69" s="219"/>
      <c r="D69" s="219"/>
      <c r="E69" s="219">
        <f>个人护理[[#This Row],[预计
费用]]-个人护理[[#This Row],[实际
费用]]</f>
        <v>0</v>
      </c>
      <c r="F69" s="213"/>
      <c r="G69" s="220" t="s">
        <v>91</v>
      </c>
      <c r="H69" s="235"/>
      <c r="I69" s="235"/>
      <c r="J69" s="231">
        <f>SUBTOTAL(109,法务[差额])</f>
        <v>0</v>
      </c>
    </row>
    <row r="70" spans="1:10" ht="30" customHeight="1">
      <c r="A70" s="191"/>
      <c r="B70" s="218" t="s">
        <v>131</v>
      </c>
      <c r="C70" s="219"/>
      <c r="D70" s="219"/>
      <c r="E70" s="219">
        <f>个人护理[[#This Row],[预计
费用]]-个人护理[[#This Row],[实际
费用]]</f>
        <v>0</v>
      </c>
      <c r="F70" s="213"/>
      <c r="G70" s="224"/>
      <c r="H70" s="224"/>
      <c r="I70" s="224"/>
      <c r="J70" s="224"/>
    </row>
    <row r="71" spans="1:10" ht="30" customHeight="1">
      <c r="A71" s="191"/>
      <c r="B71" s="218" t="s">
        <v>88</v>
      </c>
      <c r="C71" s="219"/>
      <c r="D71" s="219"/>
      <c r="E71" s="219">
        <f>个人护理[[#This Row],[预计
费用]]-个人护理[[#This Row],[实际
费用]]</f>
        <v>0</v>
      </c>
      <c r="F71" s="213"/>
      <c r="G71" s="224"/>
      <c r="H71" s="224"/>
      <c r="I71" s="224"/>
      <c r="J71" s="224"/>
    </row>
    <row r="72" spans="1:10" ht="30" customHeight="1">
      <c r="A72" s="191"/>
      <c r="B72" s="220" t="s">
        <v>91</v>
      </c>
      <c r="C72" s="235"/>
      <c r="D72" s="235"/>
      <c r="E72" s="231">
        <f>SUBTOTAL(109,个人护理[差额])</f>
        <v>0</v>
      </c>
      <c r="F72" s="213"/>
      <c r="G72" s="224"/>
      <c r="H72" s="224"/>
      <c r="I72" s="224"/>
      <c r="J72" s="224"/>
    </row>
    <row r="73" spans="1:10" ht="30" customHeight="1">
      <c r="A73" s="191"/>
      <c r="B73" s="249"/>
      <c r="C73" s="249"/>
      <c r="D73" s="249"/>
      <c r="E73" s="249"/>
      <c r="F73" s="213"/>
      <c r="G73" s="360" t="s">
        <v>132</v>
      </c>
      <c r="H73" s="360"/>
      <c r="I73" s="360"/>
      <c r="J73" s="352">
        <f>SUBTOTAL(109,住房[预计
费用],交通[预计
费用],保险[预计
费用],食品[预计
费用],宠物[预计
费用],个人护理[预计
费用],娱乐[预计
费用],贷款[预计
费用],税款[预计
费用],存款[预计
费用],礼品[预计
费用],法务[预计
费用])</f>
        <v>1195</v>
      </c>
    </row>
    <row r="74" spans="1:10" ht="30" customHeight="1">
      <c r="A74" s="191"/>
      <c r="F74" s="213"/>
      <c r="G74" s="360"/>
      <c r="H74" s="360"/>
      <c r="I74" s="360"/>
      <c r="J74" s="352"/>
    </row>
    <row r="75" spans="1:10" ht="30" customHeight="1">
      <c r="A75" s="191"/>
      <c r="F75" s="213"/>
      <c r="G75" s="359" t="s">
        <v>133</v>
      </c>
      <c r="H75" s="359"/>
      <c r="I75" s="359"/>
      <c r="J75" s="353">
        <f>SUBTOTAL(109,住房[实际
费用],交通[实际
费用],保险[实际
费用],食品[实际
费用],宠物[实际
费用],个人护理[实际
费用],娱乐[实际
费用],贷款[实际
费用],税款[实际
费用],存款[实际
费用],礼品[实际
费用],法务[实际
费用])</f>
        <v>1236</v>
      </c>
    </row>
    <row r="76" spans="1:10" ht="30" customHeight="1">
      <c r="A76" s="191"/>
      <c r="F76" s="213"/>
      <c r="G76" s="359"/>
      <c r="H76" s="359"/>
      <c r="I76" s="359"/>
      <c r="J76" s="353"/>
    </row>
    <row r="77" spans="1:10" ht="25" customHeight="1">
      <c r="A77" s="191"/>
      <c r="F77" s="213"/>
      <c r="G77" s="358" t="s">
        <v>134</v>
      </c>
      <c r="H77" s="358"/>
      <c r="I77" s="358"/>
      <c r="J77" s="354">
        <f>J73-J75</f>
        <v>-41</v>
      </c>
    </row>
    <row r="78" spans="1:10" ht="25" customHeight="1">
      <c r="A78" s="191"/>
      <c r="F78" s="213"/>
      <c r="G78" s="358"/>
      <c r="H78" s="358"/>
      <c r="I78" s="358"/>
      <c r="J78" s="354"/>
    </row>
    <row r="79" spans="1:10" ht="25" customHeight="1">
      <c r="A79" s="191"/>
      <c r="F79" s="213"/>
    </row>
    <row r="80" spans="1:10" ht="25" customHeight="1">
      <c r="A80" s="191"/>
      <c r="F80" s="213"/>
    </row>
    <row r="81" spans="1:6" ht="25" customHeight="1">
      <c r="A81" s="191"/>
      <c r="F81" s="213"/>
    </row>
  </sheetData>
  <mergeCells count="26">
    <mergeCell ref="B2:H2"/>
    <mergeCell ref="B4:C4"/>
    <mergeCell ref="B9:C9"/>
    <mergeCell ref="B28:E28"/>
    <mergeCell ref="G28:J28"/>
    <mergeCell ref="G38:J38"/>
    <mergeCell ref="B39:E39"/>
    <mergeCell ref="G39:J39"/>
    <mergeCell ref="B47:E47"/>
    <mergeCell ref="G47:J47"/>
    <mergeCell ref="J73:J74"/>
    <mergeCell ref="J75:J76"/>
    <mergeCell ref="J77:J78"/>
    <mergeCell ref="E4:G5"/>
    <mergeCell ref="E6:G7"/>
    <mergeCell ref="E8:G9"/>
    <mergeCell ref="G77:I78"/>
    <mergeCell ref="G75:I76"/>
    <mergeCell ref="G73:I74"/>
    <mergeCell ref="B54:E54"/>
    <mergeCell ref="G54:J54"/>
    <mergeCell ref="B63:E63"/>
    <mergeCell ref="G63:J63"/>
    <mergeCell ref="H4:H5"/>
    <mergeCell ref="H6:H7"/>
    <mergeCell ref="H8:H9"/>
  </mergeCells>
  <phoneticPr fontId="105" type="noConversion"/>
  <dataValidations count="12">
    <dataValidation allowBlank="1" showInputMessage="1" showErrorMessage="1" prompt="在此工作表中创建个人月度预算。有关如何使用此工作表的帮助说明位于此列的单元格中。箭头向下以开始入门。" sqref="A1" xr:uid="{00000000-0002-0000-0200-000000000000}"/>
    <dataValidation allowBlank="1" showInputMessage="1" showErrorMessage="1" prompt="此工作表的标题位于单元格 B2 中。下一条指示位于单元格 A4 中。" sqref="A2" xr:uid="{00000000-0002-0000-0200-000001000000}"/>
    <dataValidation allowBlank="1" showInputMessage="1" showErrorMessage="1" prompt="预计每月收入标签位于右侧单元格中。分别在单元格 C5 和 C6 中输入收入 1 和额外收入，用于计算 C7 中的每月总收入。下一条指示位于单元格 A7 中。" sqref="A4" xr:uid="{00000000-0002-0000-0200-000002000000}"/>
    <dataValidation allowBlank="1" showInputMessage="1" showErrorMessage="1" prompt="预计余额、实际余额和差额分别在单元格 H4、H6 和 H8 中自动进行计算。下一条指示位于单元格 A9 中。" sqref="A7" xr:uid="{00000000-0002-0000-0200-000003000000}"/>
    <dataValidation allowBlank="1" showInputMessage="1" showErrorMessage="1" prompt="实际每月收入标签位于右侧单元格中。分别在单元格 C10 和 C11 中中输入收入 1 和额外收入，用于计算 C12 中的每月总收入。下一条指示位于单元格 A15 中。" sqref="A9" xr:uid="{00000000-0002-0000-0200-000004000000}"/>
    <dataValidation allowBlank="1" showInputMessage="1" showErrorMessage="1" prompt="在“住房”表中从右侧单元格开始输入详细信息，在“娱乐”表中从单元格 G15 开始输入详细信息。下一条指示位于单元格 A29 中。" sqref="A15" xr:uid="{00000000-0002-0000-0200-000005000000}"/>
    <dataValidation allowBlank="1" showInputMessage="1" showErrorMessage="1" prompt="在“交通”表中从右侧单元格开始输入详细信息，在“贷款”表中从单元格 G29 开始输入详细信息。下一条指示位于单元格 A40 中。" sqref="A29" xr:uid="{00000000-0002-0000-0200-000006000000}"/>
    <dataValidation allowBlank="1" showInputMessage="1" showErrorMessage="1" prompt="在“保险”表中从右侧单元格开始输入详细信息，在“税款”表中从单元格 G40 开始输入详细信息。下一条指示位于单元格 A48 中。" sqref="A40" xr:uid="{00000000-0002-0000-0200-000007000000}"/>
    <dataValidation allowBlank="1" showInputMessage="1" showErrorMessage="1" prompt="在“食品”表中从右侧单元格开始输入详细信息，在“存款”表中从单元格 G48 开始输入详细信息。下一条指示位于单元格 A55 中。" sqref="A48" xr:uid="{00000000-0002-0000-0200-000008000000}"/>
    <dataValidation allowBlank="1" showInputMessage="1" showErrorMessage="1" prompt="在“宠物”表中从右侧单元格开始输入详细信息，在“礼品”表中从单元格 G54 开始输入详细信息。下一条指示位于单元格 A64 中。" sqref="A55" xr:uid="{00000000-0002-0000-0200-000009000000}"/>
    <dataValidation allowBlank="1" showInputMessage="1" showErrorMessage="1" prompt="在“个人护理”表中从右侧单元格开始输入详细信息，在“法务”表中从单元格 G64 开始输入详细信息。下一条指示位于单元格 A73 中。" sqref="A64" xr:uid="{00000000-0002-0000-0200-00000A000000}"/>
    <dataValidation allowBlank="1" showInputMessage="1" showErrorMessage="1" prompt="总预计支出、总实际支出和总差额分别在单元格 J73、J75 和 J77 中自动进行计算。" sqref="A73" xr:uid="{00000000-0002-0000-0200-00000B000000}"/>
  </dataValidations>
  <printOptions horizontalCentered="1"/>
  <pageMargins left="0.4" right="0.4" top="0.4" bottom="0.4" header="0.3" footer="0.5"/>
  <pageSetup paperSize="9" fitToHeight="0" orientation="portrait"/>
  <headerFooter differentFirst="1">
    <oddFooter>&amp;CPage &amp;P of &amp;N</oddFooter>
  </headerFooter>
  <ignoredErrors>
    <ignoredError sqref="J16:J24 E30:E36 J30:J35 J41:J44 E41:E44 E49:E51 J49:J51 J56:J58 J65:J68 J73:J76 E65:E71 E60 E56:E59" emptyCellReference="1"/>
  </ignoredErrors>
  <drawing r:id="rId1"/>
  <tableParts count="12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50"/>
  <sheetViews>
    <sheetView showGridLines="0" topLeftCell="A26" workbookViewId="0">
      <selection activeCell="F40" sqref="F40"/>
    </sheetView>
  </sheetViews>
  <sheetFormatPr baseColWidth="10" defaultColWidth="10.1640625" defaultRowHeight="14"/>
  <cols>
    <col min="1" max="1" width="4.1640625" style="121" customWidth="1"/>
    <col min="2" max="2" width="3.1640625" style="121" customWidth="1"/>
    <col min="3" max="3" width="7.6640625" style="121" customWidth="1"/>
    <col min="4" max="4" width="7.6640625" style="154" customWidth="1"/>
    <col min="5" max="5" width="25.1640625" style="154" customWidth="1"/>
    <col min="6" max="6" width="13.1640625" style="155" customWidth="1"/>
    <col min="7" max="7" width="13.1640625" style="156" customWidth="1"/>
    <col min="8" max="9" width="8.6640625" style="155" customWidth="1"/>
    <col min="10" max="10" width="3.1640625" style="121" customWidth="1"/>
    <col min="11" max="11" width="2" style="121" customWidth="1"/>
    <col min="12" max="16384" width="10.1640625" style="121"/>
  </cols>
  <sheetData>
    <row r="1" spans="1:11" ht="100.25" customHeight="1">
      <c r="A1" s="157"/>
      <c r="B1" s="158"/>
      <c r="C1" s="158"/>
      <c r="D1" s="159"/>
      <c r="E1" s="159"/>
      <c r="F1" s="160"/>
      <c r="G1" s="161"/>
      <c r="H1" s="160"/>
      <c r="I1" s="160"/>
      <c r="J1" s="158"/>
    </row>
    <row r="2" spans="1:11" ht="35" customHeight="1">
      <c r="A2" s="157"/>
      <c r="B2" s="158"/>
      <c r="C2" s="376" t="s">
        <v>313</v>
      </c>
      <c r="D2" s="377"/>
      <c r="E2" s="377"/>
      <c r="F2" s="377"/>
      <c r="G2" s="377"/>
      <c r="H2" s="377"/>
      <c r="I2" s="377"/>
      <c r="J2" s="377"/>
      <c r="K2" s="121" t="s">
        <v>42</v>
      </c>
    </row>
    <row r="3" spans="1:11" ht="50" customHeight="1">
      <c r="A3" s="157"/>
      <c r="B3" s="158"/>
      <c r="C3" s="378" t="s">
        <v>135</v>
      </c>
      <c r="D3" s="378"/>
      <c r="E3" s="378"/>
      <c r="F3" s="378"/>
      <c r="G3" s="378"/>
      <c r="H3" s="378"/>
      <c r="I3" s="378"/>
      <c r="J3" s="158"/>
    </row>
    <row r="4" spans="1:11" ht="30" customHeight="1">
      <c r="A4" s="157"/>
      <c r="B4" s="158"/>
      <c r="C4" s="158"/>
      <c r="D4" s="158"/>
      <c r="E4" s="158"/>
      <c r="F4" s="158"/>
      <c r="G4" s="158"/>
      <c r="H4" s="158"/>
      <c r="I4" s="158"/>
      <c r="J4" s="158"/>
    </row>
    <row r="5" spans="1:11" s="152" customFormat="1" ht="35" customHeight="1">
      <c r="A5" s="162"/>
      <c r="B5" s="163"/>
      <c r="C5" s="164" t="s">
        <v>2</v>
      </c>
      <c r="D5" s="165"/>
      <c r="E5" s="165"/>
      <c r="F5" s="166"/>
      <c r="G5" s="167"/>
      <c r="H5" s="166"/>
      <c r="I5" s="166"/>
      <c r="J5" s="184"/>
    </row>
    <row r="6" spans="1:11" ht="18" customHeight="1">
      <c r="A6" s="157"/>
      <c r="B6" s="158"/>
      <c r="C6" s="158"/>
      <c r="D6" s="159"/>
      <c r="E6" s="159"/>
      <c r="F6" s="160"/>
      <c r="G6" s="161"/>
      <c r="H6" s="160"/>
      <c r="I6" s="160"/>
      <c r="J6" s="158"/>
    </row>
    <row r="7" spans="1:11" s="153" customFormat="1" ht="18" customHeight="1">
      <c r="A7" s="168"/>
      <c r="B7" s="169"/>
      <c r="C7" s="169"/>
      <c r="D7" s="170" t="s">
        <v>136</v>
      </c>
      <c r="E7" s="170"/>
      <c r="F7" s="171"/>
      <c r="G7" s="172"/>
      <c r="H7" s="173"/>
      <c r="I7" s="173"/>
      <c r="J7" s="169"/>
    </row>
    <row r="8" spans="1:11" s="153" customFormat="1" ht="18" customHeight="1">
      <c r="A8" s="168"/>
      <c r="B8" s="169"/>
      <c r="C8" s="169"/>
      <c r="D8" s="174" t="s">
        <v>137</v>
      </c>
      <c r="E8" s="175" t="s">
        <v>138</v>
      </c>
      <c r="F8" s="171"/>
      <c r="G8" s="172"/>
      <c r="H8" s="173"/>
      <c r="I8" s="173"/>
      <c r="J8" s="169"/>
    </row>
    <row r="9" spans="1:11" s="153" customFormat="1" ht="18" customHeight="1">
      <c r="A9" s="168"/>
      <c r="B9" s="169"/>
      <c r="C9" s="169"/>
      <c r="D9" s="170"/>
      <c r="E9" s="176" t="s">
        <v>139</v>
      </c>
      <c r="F9" s="171"/>
      <c r="G9" s="177">
        <f>F7-F8</f>
        <v>0</v>
      </c>
      <c r="H9" s="178"/>
      <c r="I9" s="178"/>
      <c r="J9" s="169"/>
    </row>
    <row r="10" spans="1:11" ht="18" customHeight="1">
      <c r="A10" s="157"/>
      <c r="B10" s="158"/>
      <c r="C10" s="158"/>
      <c r="D10" s="159"/>
      <c r="E10" s="159"/>
      <c r="F10" s="160"/>
      <c r="G10" s="161"/>
      <c r="H10" s="160"/>
      <c r="I10" s="160"/>
      <c r="J10" s="158"/>
    </row>
    <row r="11" spans="1:11" s="152" customFormat="1" ht="35" customHeight="1">
      <c r="A11" s="162"/>
      <c r="B11" s="163"/>
      <c r="C11" s="164" t="s">
        <v>140</v>
      </c>
      <c r="D11" s="165"/>
      <c r="E11" s="165"/>
      <c r="F11" s="166"/>
      <c r="G11" s="167"/>
      <c r="H11" s="166"/>
      <c r="I11" s="166"/>
      <c r="J11" s="184"/>
    </row>
    <row r="12" spans="1:11" ht="18" customHeight="1">
      <c r="A12" s="157"/>
      <c r="B12" s="158"/>
      <c r="C12" s="158"/>
      <c r="D12" s="159"/>
      <c r="E12" s="159"/>
      <c r="F12" s="160"/>
      <c r="G12" s="161"/>
      <c r="H12" s="160"/>
      <c r="I12" s="160"/>
      <c r="J12" s="158"/>
    </row>
    <row r="13" spans="1:11" ht="18" customHeight="1">
      <c r="A13" s="157"/>
      <c r="B13" s="158"/>
      <c r="C13" s="158"/>
      <c r="D13" s="159" t="s">
        <v>141</v>
      </c>
      <c r="E13" s="159"/>
      <c r="F13" s="179"/>
      <c r="G13" s="161"/>
      <c r="H13" s="160"/>
      <c r="I13" s="160"/>
      <c r="J13" s="158"/>
    </row>
    <row r="14" spans="1:11" ht="18" customHeight="1">
      <c r="A14" s="157"/>
      <c r="B14" s="158"/>
      <c r="C14" s="158"/>
      <c r="D14" s="180" t="s">
        <v>142</v>
      </c>
      <c r="E14" s="159" t="s">
        <v>143</v>
      </c>
      <c r="F14" s="179"/>
      <c r="G14" s="161"/>
      <c r="H14" s="160"/>
      <c r="I14" s="160"/>
      <c r="J14" s="158"/>
    </row>
    <row r="15" spans="1:11" ht="18" customHeight="1">
      <c r="A15" s="157"/>
      <c r="B15" s="158"/>
      <c r="C15" s="158"/>
      <c r="D15" s="159"/>
      <c r="E15" s="159" t="s">
        <v>144</v>
      </c>
      <c r="F15" s="179"/>
      <c r="G15" s="161"/>
      <c r="H15" s="160"/>
      <c r="I15" s="160"/>
      <c r="J15" s="158"/>
    </row>
    <row r="16" spans="1:11" ht="18" customHeight="1">
      <c r="A16" s="157"/>
      <c r="B16" s="158"/>
      <c r="C16" s="158"/>
      <c r="D16" s="159"/>
      <c r="E16" s="159" t="s">
        <v>145</v>
      </c>
      <c r="F16" s="179"/>
      <c r="G16" s="161"/>
      <c r="H16" s="160"/>
      <c r="I16" s="160"/>
      <c r="J16" s="158"/>
    </row>
    <row r="17" spans="1:10" s="153" customFormat="1" ht="18" customHeight="1">
      <c r="A17" s="168"/>
      <c r="B17" s="169"/>
      <c r="C17" s="169"/>
      <c r="D17" s="170"/>
      <c r="E17" s="176" t="s">
        <v>146</v>
      </c>
      <c r="F17" s="171"/>
      <c r="G17" s="177">
        <f>SUM(F13:F17)</f>
        <v>0</v>
      </c>
      <c r="H17" s="178"/>
      <c r="I17" s="178"/>
      <c r="J17" s="169"/>
    </row>
    <row r="18" spans="1:10" ht="18" customHeight="1">
      <c r="A18" s="157"/>
      <c r="B18" s="158"/>
      <c r="C18" s="158"/>
      <c r="D18" s="159"/>
      <c r="E18" s="159"/>
      <c r="F18" s="181"/>
      <c r="G18" s="161"/>
      <c r="H18" s="160"/>
      <c r="I18" s="160"/>
      <c r="J18" s="158"/>
    </row>
    <row r="19" spans="1:10" ht="18" customHeight="1">
      <c r="A19" s="157"/>
      <c r="B19" s="158"/>
      <c r="C19" s="158"/>
      <c r="D19" s="180" t="s">
        <v>147</v>
      </c>
      <c r="E19" s="159" t="s">
        <v>148</v>
      </c>
      <c r="F19" s="179"/>
      <c r="G19" s="161"/>
      <c r="H19" s="160"/>
      <c r="I19" s="160"/>
      <c r="J19" s="158"/>
    </row>
    <row r="20" spans="1:10" s="153" customFormat="1" ht="18" customHeight="1">
      <c r="A20" s="168"/>
      <c r="B20" s="169"/>
      <c r="C20" s="169"/>
      <c r="D20" s="170"/>
      <c r="E20" s="176" t="s">
        <v>140</v>
      </c>
      <c r="F20" s="171"/>
      <c r="G20" s="177">
        <f>G17-F19</f>
        <v>0</v>
      </c>
      <c r="H20" s="178"/>
      <c r="I20" s="178"/>
      <c r="J20" s="169"/>
    </row>
    <row r="21" spans="1:10" ht="18" customHeight="1">
      <c r="A21" s="157"/>
      <c r="B21" s="158"/>
      <c r="C21" s="158"/>
      <c r="D21" s="159"/>
      <c r="E21" s="182"/>
      <c r="F21" s="181"/>
      <c r="G21" s="161"/>
      <c r="H21" s="160"/>
      <c r="I21" s="160"/>
      <c r="J21" s="158"/>
    </row>
    <row r="22" spans="1:10" s="153" customFormat="1" ht="18" customHeight="1">
      <c r="A22" s="168"/>
      <c r="B22" s="169"/>
      <c r="C22" s="169"/>
      <c r="D22" s="170"/>
      <c r="E22" s="176" t="s">
        <v>149</v>
      </c>
      <c r="F22" s="171"/>
      <c r="G22" s="177">
        <f>G9-G20</f>
        <v>0</v>
      </c>
      <c r="H22" s="178"/>
      <c r="I22" s="178"/>
      <c r="J22" s="169"/>
    </row>
    <row r="23" spans="1:10" ht="18" customHeight="1">
      <c r="A23" s="157"/>
      <c r="B23" s="158"/>
      <c r="C23" s="158"/>
      <c r="D23" s="159"/>
      <c r="E23" s="159"/>
      <c r="F23" s="160"/>
      <c r="G23" s="161"/>
      <c r="H23" s="160"/>
      <c r="I23" s="160"/>
      <c r="J23" s="158"/>
    </row>
    <row r="24" spans="1:10" s="152" customFormat="1" ht="35" customHeight="1">
      <c r="A24" s="162"/>
      <c r="B24" s="163"/>
      <c r="C24" s="164" t="s">
        <v>3</v>
      </c>
      <c r="D24" s="165"/>
      <c r="E24" s="165"/>
      <c r="F24" s="166"/>
      <c r="G24" s="167"/>
      <c r="H24" s="166"/>
      <c r="I24" s="166"/>
      <c r="J24" s="184"/>
    </row>
    <row r="25" spans="1:10" ht="18" customHeight="1">
      <c r="A25" s="157"/>
      <c r="B25" s="158"/>
      <c r="C25" s="158"/>
      <c r="D25" s="159"/>
      <c r="E25" s="159"/>
      <c r="F25" s="160"/>
      <c r="G25" s="161"/>
      <c r="H25" s="160"/>
      <c r="I25" s="160"/>
      <c r="J25" s="158"/>
    </row>
    <row r="26" spans="1:10" ht="18" customHeight="1">
      <c r="A26" s="157"/>
      <c r="B26" s="158"/>
      <c r="C26" s="158"/>
      <c r="D26" s="159" t="s">
        <v>150</v>
      </c>
      <c r="E26" s="159"/>
      <c r="F26" s="179"/>
      <c r="G26" s="161"/>
      <c r="H26" s="160"/>
      <c r="I26" s="160"/>
      <c r="J26" s="158"/>
    </row>
    <row r="27" spans="1:10" ht="18" customHeight="1">
      <c r="A27" s="157"/>
      <c r="B27" s="158"/>
      <c r="C27" s="158"/>
      <c r="D27" s="159" t="s">
        <v>151</v>
      </c>
      <c r="E27" s="159"/>
      <c r="F27" s="179">
        <v>0</v>
      </c>
      <c r="G27" s="161"/>
      <c r="H27" s="160"/>
      <c r="I27" s="160"/>
      <c r="J27" s="158"/>
    </row>
    <row r="28" spans="1:10" ht="18" customHeight="1">
      <c r="A28" s="157"/>
      <c r="B28" s="158"/>
      <c r="C28" s="158"/>
      <c r="D28" s="159" t="s">
        <v>152</v>
      </c>
      <c r="E28" s="159"/>
      <c r="F28" s="179">
        <v>0</v>
      </c>
      <c r="G28" s="161"/>
      <c r="H28" s="160"/>
      <c r="I28" s="160"/>
      <c r="J28" s="158"/>
    </row>
    <row r="29" spans="1:10" ht="18" customHeight="1">
      <c r="A29" s="157"/>
      <c r="B29" s="158"/>
      <c r="C29" s="158"/>
      <c r="D29" s="159" t="s">
        <v>153</v>
      </c>
      <c r="E29" s="159"/>
      <c r="F29" s="179">
        <v>0</v>
      </c>
      <c r="G29" s="161"/>
      <c r="H29" s="160"/>
      <c r="I29" s="160"/>
      <c r="J29" s="158"/>
    </row>
    <row r="30" spans="1:10" ht="18" customHeight="1">
      <c r="A30" s="157"/>
      <c r="B30" s="158"/>
      <c r="C30" s="158"/>
      <c r="D30" s="159" t="s">
        <v>154</v>
      </c>
      <c r="E30" s="159"/>
      <c r="F30" s="179">
        <v>0</v>
      </c>
      <c r="G30" s="161"/>
      <c r="H30" s="160"/>
      <c r="I30" s="160"/>
      <c r="J30" s="158"/>
    </row>
    <row r="31" spans="1:10" ht="18" customHeight="1">
      <c r="A31" s="157"/>
      <c r="B31" s="158"/>
      <c r="C31" s="158"/>
      <c r="D31" s="159" t="s">
        <v>90</v>
      </c>
      <c r="E31" s="159"/>
      <c r="F31" s="179">
        <v>0</v>
      </c>
      <c r="G31" s="161"/>
      <c r="H31" s="160"/>
      <c r="I31" s="160"/>
      <c r="J31" s="158"/>
    </row>
    <row r="32" spans="1:10" ht="18" customHeight="1">
      <c r="A32" s="157"/>
      <c r="B32" s="158"/>
      <c r="C32" s="158"/>
      <c r="D32" s="159" t="s">
        <v>155</v>
      </c>
      <c r="E32" s="159"/>
      <c r="F32" s="179">
        <v>0</v>
      </c>
      <c r="G32" s="161"/>
      <c r="H32" s="160"/>
      <c r="I32" s="160"/>
      <c r="J32" s="158"/>
    </row>
    <row r="33" spans="1:10" ht="18" customHeight="1">
      <c r="A33" s="157"/>
      <c r="B33" s="158"/>
      <c r="C33" s="158"/>
      <c r="D33" s="159" t="s">
        <v>156</v>
      </c>
      <c r="E33" s="159"/>
      <c r="F33" s="179">
        <v>0</v>
      </c>
      <c r="G33" s="161"/>
      <c r="H33" s="160"/>
      <c r="I33" s="160"/>
      <c r="J33" s="158"/>
    </row>
    <row r="34" spans="1:10" ht="18" customHeight="1">
      <c r="A34" s="157"/>
      <c r="B34" s="158"/>
      <c r="C34" s="158"/>
      <c r="D34" s="159" t="s">
        <v>157</v>
      </c>
      <c r="E34" s="159"/>
      <c r="F34" s="179">
        <v>0</v>
      </c>
      <c r="G34" s="161"/>
      <c r="H34" s="160"/>
      <c r="I34" s="160"/>
      <c r="J34" s="158"/>
    </row>
    <row r="35" spans="1:10" ht="18" customHeight="1">
      <c r="A35" s="157"/>
      <c r="B35" s="158"/>
      <c r="C35" s="158"/>
      <c r="D35" s="159" t="s">
        <v>51</v>
      </c>
      <c r="E35" s="159"/>
      <c r="F35" s="179">
        <v>0</v>
      </c>
      <c r="G35" s="161"/>
      <c r="H35" s="160"/>
      <c r="I35" s="160"/>
      <c r="J35" s="158"/>
    </row>
    <row r="36" spans="1:10" ht="18" customHeight="1">
      <c r="A36" s="157"/>
      <c r="B36" s="158"/>
      <c r="C36" s="158"/>
      <c r="D36" s="159" t="s">
        <v>158</v>
      </c>
      <c r="E36" s="159"/>
      <c r="F36" s="179">
        <v>0</v>
      </c>
      <c r="G36" s="161"/>
      <c r="H36" s="160"/>
      <c r="I36" s="160"/>
      <c r="J36" s="158"/>
    </row>
    <row r="37" spans="1:10" ht="18" customHeight="1">
      <c r="A37" s="157"/>
      <c r="B37" s="158"/>
      <c r="C37" s="158"/>
      <c r="D37" s="159" t="s">
        <v>50</v>
      </c>
      <c r="E37" s="159"/>
      <c r="F37" s="179">
        <v>0</v>
      </c>
      <c r="G37" s="161"/>
      <c r="H37" s="160"/>
      <c r="I37" s="160"/>
      <c r="J37" s="158"/>
    </row>
    <row r="38" spans="1:10" s="153" customFormat="1" ht="18" customHeight="1">
      <c r="A38" s="168"/>
      <c r="B38" s="169"/>
      <c r="C38" s="169"/>
      <c r="D38" s="170"/>
      <c r="E38" s="176" t="s">
        <v>159</v>
      </c>
      <c r="F38" s="171"/>
      <c r="G38" s="177">
        <f>SUM(F26:F38)</f>
        <v>0</v>
      </c>
      <c r="H38" s="178"/>
      <c r="I38" s="178"/>
      <c r="J38" s="169"/>
    </row>
    <row r="39" spans="1:10" ht="18" customHeight="1">
      <c r="A39" s="157"/>
      <c r="B39" s="158"/>
      <c r="C39" s="158"/>
      <c r="D39" s="159"/>
      <c r="E39" s="182"/>
      <c r="F39" s="181"/>
      <c r="G39" s="161"/>
      <c r="H39" s="160"/>
      <c r="I39" s="160"/>
      <c r="J39" s="158"/>
    </row>
    <row r="40" spans="1:10" s="153" customFormat="1" ht="18" customHeight="1">
      <c r="A40" s="168"/>
      <c r="B40" s="169"/>
      <c r="C40" s="169"/>
      <c r="D40" s="170"/>
      <c r="E40" s="176" t="s">
        <v>160</v>
      </c>
      <c r="F40" s="171"/>
      <c r="G40" s="177">
        <f>G22-G38</f>
        <v>0</v>
      </c>
      <c r="H40" s="178"/>
      <c r="I40" s="178"/>
      <c r="J40" s="169"/>
    </row>
    <row r="41" spans="1:10" ht="18" customHeight="1">
      <c r="A41" s="157"/>
      <c r="B41" s="158"/>
      <c r="C41" s="158"/>
      <c r="D41" s="159"/>
      <c r="E41" s="159"/>
      <c r="F41" s="160"/>
      <c r="G41" s="161"/>
      <c r="H41" s="160"/>
      <c r="I41" s="160"/>
      <c r="J41" s="158"/>
    </row>
    <row r="42" spans="1:10" s="152" customFormat="1" ht="35" customHeight="1">
      <c r="A42" s="162"/>
      <c r="B42" s="163"/>
      <c r="C42" s="164" t="s">
        <v>161</v>
      </c>
      <c r="D42" s="165"/>
      <c r="E42" s="165"/>
      <c r="F42" s="166"/>
      <c r="G42" s="167"/>
      <c r="H42" s="166"/>
      <c r="I42" s="166"/>
      <c r="J42" s="184"/>
    </row>
    <row r="43" spans="1:10" ht="18" customHeight="1">
      <c r="A43" s="157"/>
      <c r="B43" s="158"/>
      <c r="C43" s="158"/>
      <c r="D43" s="159"/>
      <c r="E43" s="159"/>
      <c r="F43" s="160"/>
      <c r="G43" s="161"/>
      <c r="H43" s="160"/>
      <c r="I43" s="160"/>
      <c r="J43" s="158"/>
    </row>
    <row r="44" spans="1:10" ht="18" customHeight="1">
      <c r="A44" s="157"/>
      <c r="B44" s="158"/>
      <c r="C44" s="158"/>
      <c r="D44" s="159" t="s">
        <v>162</v>
      </c>
      <c r="E44" s="159"/>
      <c r="F44" s="179"/>
      <c r="G44" s="161"/>
      <c r="H44" s="160"/>
      <c r="I44" s="160"/>
      <c r="J44" s="158"/>
    </row>
    <row r="45" spans="1:10" ht="18" customHeight="1">
      <c r="A45" s="157"/>
      <c r="B45" s="158"/>
      <c r="C45" s="158"/>
      <c r="D45" s="159" t="s">
        <v>163</v>
      </c>
      <c r="E45" s="159"/>
      <c r="F45" s="179"/>
      <c r="G45" s="161"/>
      <c r="H45" s="160"/>
      <c r="I45" s="160"/>
      <c r="J45" s="158"/>
    </row>
    <row r="46" spans="1:10" s="153" customFormat="1" ht="18" customHeight="1">
      <c r="A46" s="168"/>
      <c r="B46" s="169"/>
      <c r="C46" s="169"/>
      <c r="D46" s="170"/>
      <c r="E46" s="176" t="s">
        <v>164</v>
      </c>
      <c r="F46" s="173"/>
      <c r="G46" s="177">
        <f>SUM(F44:F46)</f>
        <v>0</v>
      </c>
      <c r="H46" s="178"/>
      <c r="I46" s="178"/>
      <c r="J46" s="169"/>
    </row>
    <row r="47" spans="1:10" ht="18" customHeight="1">
      <c r="A47" s="157"/>
      <c r="B47" s="158"/>
      <c r="C47" s="158"/>
      <c r="D47" s="159"/>
      <c r="E47" s="182"/>
      <c r="F47" s="160"/>
      <c r="G47" s="161"/>
      <c r="H47" s="160"/>
      <c r="I47" s="160"/>
      <c r="J47" s="158"/>
    </row>
    <row r="48" spans="1:10" s="153" customFormat="1" ht="18" customHeight="1">
      <c r="A48" s="168"/>
      <c r="B48" s="169"/>
      <c r="C48" s="169"/>
      <c r="D48" s="170"/>
      <c r="E48" s="176" t="s">
        <v>165</v>
      </c>
      <c r="F48" s="173"/>
      <c r="G48" s="183">
        <f>G40+G46</f>
        <v>0</v>
      </c>
      <c r="H48" s="178"/>
      <c r="I48" s="178"/>
      <c r="J48" s="169"/>
    </row>
    <row r="49" spans="1:10" ht="18" customHeight="1">
      <c r="A49" s="157"/>
      <c r="B49" s="158"/>
      <c r="C49" s="158"/>
      <c r="D49" s="159"/>
      <c r="E49" s="182"/>
      <c r="F49" s="160"/>
      <c r="G49" s="161"/>
      <c r="H49" s="160"/>
      <c r="I49" s="160"/>
      <c r="J49" s="158"/>
    </row>
    <row r="50" spans="1:10" ht="18" customHeight="1">
      <c r="A50" s="157"/>
      <c r="B50" s="158"/>
      <c r="C50" s="158"/>
      <c r="D50" s="159"/>
      <c r="E50" s="159"/>
      <c r="F50" s="160"/>
      <c r="G50" s="161"/>
      <c r="H50" s="160"/>
      <c r="I50" s="160"/>
      <c r="J50" s="158"/>
    </row>
  </sheetData>
  <mergeCells count="2">
    <mergeCell ref="C2:J2"/>
    <mergeCell ref="C3:I3"/>
  </mergeCells>
  <phoneticPr fontId="105" type="noConversion"/>
  <conditionalFormatting sqref="F7:G10 F12:G23 F25:G41 F43:G48">
    <cfRule type="cellIs" dxfId="1" priority="1" operator="lessThan">
      <formula>0</formula>
    </cfRule>
  </conditionalFormatting>
  <dataValidations count="1">
    <dataValidation allowBlank="1" showInputMessage="1" showErrorMessage="1" promptTitle="利润表模板" prompt="输入你的公司名称，并输入利润表的时间覆盖范围。_x000a__x000a_在 F 列中带阴影的单元格内输入值。将自动计算所有其他字段。" sqref="A1" xr:uid="{00000000-0002-0000-0300-000000000000}"/>
  </dataValidations>
  <pageMargins left="0.7" right="0.7" top="0.4" bottom="0.4" header="0.3" footer="0.3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autoPageBreaks="0" fitToPage="1"/>
  </sheetPr>
  <dimension ref="B1:AE14"/>
  <sheetViews>
    <sheetView showGridLines="0" workbookViewId="0">
      <selection activeCell="D7" sqref="D7"/>
    </sheetView>
  </sheetViews>
  <sheetFormatPr baseColWidth="10" defaultColWidth="10" defaultRowHeight="30" customHeight="1"/>
  <cols>
    <col min="1" max="1" width="5.6640625" style="78" customWidth="1"/>
    <col min="2" max="2" width="35.6640625" style="122" customWidth="1"/>
    <col min="3" max="3" width="35.6640625" style="78" customWidth="1"/>
    <col min="4" max="30" width="10.6640625" style="78" customWidth="1"/>
    <col min="31" max="31" width="5.6640625" style="78" customWidth="1"/>
    <col min="32" max="16384" width="10" style="78"/>
  </cols>
  <sheetData>
    <row r="1" spans="2:31" ht="25" customHeight="1">
      <c r="B1" s="78"/>
      <c r="AE1" s="78" t="s">
        <v>42</v>
      </c>
    </row>
    <row r="2" spans="2:31" ht="60" customHeight="1">
      <c r="B2" s="317" t="s">
        <v>314</v>
      </c>
      <c r="J2" s="97"/>
      <c r="Q2" s="104"/>
      <c r="R2" s="104"/>
      <c r="S2" s="104"/>
      <c r="T2" s="104"/>
      <c r="U2" s="104"/>
      <c r="V2" s="104"/>
      <c r="W2" s="104"/>
      <c r="X2" s="104"/>
      <c r="Y2" s="104"/>
      <c r="Z2" s="104"/>
      <c r="AA2" s="104"/>
      <c r="AB2" s="104"/>
      <c r="AC2" s="104"/>
    </row>
    <row r="3" spans="2:31" ht="10" customHeight="1">
      <c r="B3" s="123"/>
      <c r="J3" s="97"/>
      <c r="Q3" s="104"/>
      <c r="R3" s="104"/>
      <c r="S3" s="104"/>
      <c r="T3" s="104"/>
      <c r="U3" s="104"/>
      <c r="V3" s="104"/>
      <c r="W3" s="104"/>
      <c r="X3" s="104"/>
      <c r="Y3" s="104"/>
      <c r="Z3" s="104"/>
      <c r="AA3" s="104"/>
      <c r="AB3" s="104"/>
      <c r="AC3" s="104"/>
    </row>
    <row r="4" spans="2:31" ht="50" customHeight="1">
      <c r="B4" s="139" t="s">
        <v>166</v>
      </c>
      <c r="C4" s="84"/>
      <c r="D4" s="84"/>
      <c r="E4" s="85"/>
      <c r="F4" s="84"/>
      <c r="G4" s="85"/>
      <c r="H4" s="84"/>
      <c r="I4" s="84"/>
      <c r="J4" s="84"/>
      <c r="K4" s="85"/>
      <c r="L4" s="85"/>
      <c r="M4" s="85"/>
      <c r="N4" s="85"/>
      <c r="O4" s="85"/>
      <c r="P4" s="84"/>
      <c r="Q4" s="84"/>
      <c r="R4" s="84"/>
      <c r="S4" s="84"/>
      <c r="T4" s="84"/>
      <c r="U4" s="84"/>
      <c r="V4" s="84"/>
      <c r="W4" s="84"/>
      <c r="X4" s="105"/>
      <c r="Y4" s="105"/>
      <c r="Z4" s="105"/>
      <c r="AA4" s="105"/>
      <c r="AB4" s="138"/>
      <c r="AC4" s="84"/>
      <c r="AD4" s="84"/>
    </row>
    <row r="5" spans="2:31" ht="25" customHeight="1">
      <c r="B5" s="140"/>
      <c r="E5" s="86"/>
      <c r="G5" s="86"/>
      <c r="K5" s="86"/>
      <c r="L5" s="86"/>
      <c r="M5" s="86"/>
      <c r="N5" s="86"/>
      <c r="O5" s="86"/>
      <c r="X5" s="106"/>
      <c r="Y5" s="106"/>
      <c r="Z5" s="106"/>
      <c r="AA5" s="106"/>
      <c r="AB5" s="119"/>
      <c r="AC5" s="119"/>
      <c r="AD5" s="119"/>
    </row>
    <row r="6" spans="2:31" s="121" customFormat="1" ht="30" customHeight="1">
      <c r="B6" s="141" t="s">
        <v>2</v>
      </c>
      <c r="C6" s="141" t="s">
        <v>167</v>
      </c>
      <c r="D6" s="142" t="s">
        <v>168</v>
      </c>
      <c r="E6" s="142" t="s">
        <v>169</v>
      </c>
      <c r="F6" s="142" t="s">
        <v>170</v>
      </c>
      <c r="G6" s="142" t="s">
        <v>171</v>
      </c>
      <c r="H6" s="142" t="s">
        <v>172</v>
      </c>
      <c r="I6" s="142" t="s">
        <v>173</v>
      </c>
      <c r="J6" s="142" t="s">
        <v>174</v>
      </c>
      <c r="K6" s="142" t="s">
        <v>175</v>
      </c>
      <c r="L6" s="142" t="s">
        <v>176</v>
      </c>
      <c r="M6" s="142" t="s">
        <v>177</v>
      </c>
      <c r="N6" s="142" t="s">
        <v>178</v>
      </c>
      <c r="O6" s="142" t="s">
        <v>179</v>
      </c>
      <c r="P6" s="142" t="s">
        <v>180</v>
      </c>
      <c r="Q6" s="142" t="s">
        <v>181</v>
      </c>
      <c r="R6" s="142" t="s">
        <v>182</v>
      </c>
      <c r="S6" s="142" t="s">
        <v>183</v>
      </c>
      <c r="T6" s="142" t="s">
        <v>184</v>
      </c>
      <c r="U6" s="142" t="s">
        <v>185</v>
      </c>
      <c r="V6" s="142" t="s">
        <v>186</v>
      </c>
      <c r="W6" s="142" t="s">
        <v>187</v>
      </c>
      <c r="X6" s="142" t="s">
        <v>188</v>
      </c>
      <c r="Y6" s="142" t="s">
        <v>189</v>
      </c>
      <c r="Z6" s="142" t="s">
        <v>190</v>
      </c>
      <c r="AA6" s="142" t="s">
        <v>191</v>
      </c>
      <c r="AB6" s="142" t="s">
        <v>192</v>
      </c>
      <c r="AC6" s="142" t="s">
        <v>193</v>
      </c>
      <c r="AD6" s="142" t="s">
        <v>194</v>
      </c>
    </row>
    <row r="7" spans="2:31" ht="30" customHeight="1">
      <c r="B7" s="89" t="s">
        <v>62</v>
      </c>
      <c r="C7" s="143"/>
      <c r="D7" s="144">
        <v>186</v>
      </c>
      <c r="E7" s="144">
        <v>0</v>
      </c>
      <c r="F7" s="144">
        <v>0</v>
      </c>
      <c r="G7" s="144">
        <v>0</v>
      </c>
      <c r="H7" s="144">
        <v>0</v>
      </c>
      <c r="I7" s="144">
        <v>0</v>
      </c>
      <c r="J7" s="144">
        <v>0</v>
      </c>
      <c r="K7" s="144">
        <v>0</v>
      </c>
      <c r="L7" s="144">
        <v>0</v>
      </c>
      <c r="M7" s="144">
        <v>0</v>
      </c>
      <c r="N7" s="144">
        <v>0</v>
      </c>
      <c r="O7" s="144">
        <v>0</v>
      </c>
      <c r="P7" s="147">
        <f>SUM(收入[[#This Row],[1 月]:[12 月]])</f>
        <v>186</v>
      </c>
      <c r="Q7" s="149">
        <v>0.12</v>
      </c>
      <c r="R7" s="150">
        <f>IFERROR(收入[[#This Row],[1 月]]/收入[[#Totals],[1 月]],"-")</f>
        <v>0.25444596443228501</v>
      </c>
      <c r="S7" s="150" t="str">
        <f>IFERROR(收入[[#This Row],[2 月]]/收入[[#Totals],[2 月]],"-")</f>
        <v>-</v>
      </c>
      <c r="T7" s="150" t="str">
        <f>IFERROR(收入[[#This Row],[3 月]]/收入[[#Totals],[3 月]],"-")</f>
        <v>-</v>
      </c>
      <c r="U7" s="150" t="str">
        <f>IFERROR(收入[[#This Row],[4 月]]/收入[[#Totals],[4 月]],"-")</f>
        <v>-</v>
      </c>
      <c r="V7" s="150" t="str">
        <f>IFERROR(收入[[#This Row],[5 月]]/收入[[#Totals],[5 月]],"-")</f>
        <v>-</v>
      </c>
      <c r="W7" s="150" t="str">
        <f>IFERROR(收入[[#This Row],[6 月]]/收入[[#Totals],[6 月]],"-")</f>
        <v>-</v>
      </c>
      <c r="X7" s="150" t="str">
        <f>IFERROR(收入[[#This Row],[7 月]]/收入[[#Totals],[7 月]],"-")</f>
        <v>-</v>
      </c>
      <c r="Y7" s="150" t="str">
        <f>IFERROR(收入[[#This Row],[8 月]]/收入[[#Totals],[8 月]],"-")</f>
        <v>-</v>
      </c>
      <c r="Z7" s="150" t="str">
        <f>IFERROR(收入[[#This Row],[9 月]]/收入[[#Totals],[9 月]],"-")</f>
        <v>-</v>
      </c>
      <c r="AA7" s="150" t="str">
        <f>IFERROR(收入[[#This Row],[10 月]]/收入[[#Totals],[10 月]],"-")</f>
        <v>-</v>
      </c>
      <c r="AB7" s="150" t="str">
        <f>IFERROR(收入[[#This Row],[11 月]]/收入[[#Totals],[11 月]],"-")</f>
        <v>-</v>
      </c>
      <c r="AC7" s="150" t="str">
        <f>IFERROR(收入[[#This Row],[12 月]]/收入[[#Totals],[12 月]],"-")</f>
        <v>-</v>
      </c>
      <c r="AD7" s="150">
        <f>IFERROR(收入[[#This Row],[年度]]/收入[[#Totals],[年度]],"-")</f>
        <v>0.25444596443228501</v>
      </c>
    </row>
    <row r="8" spans="2:31" ht="30" customHeight="1">
      <c r="B8" s="89" t="s">
        <v>195</v>
      </c>
      <c r="C8" s="145"/>
      <c r="D8" s="144">
        <v>122</v>
      </c>
      <c r="E8" s="144">
        <v>0</v>
      </c>
      <c r="F8" s="144">
        <v>0</v>
      </c>
      <c r="G8" s="144">
        <v>0</v>
      </c>
      <c r="H8" s="144">
        <v>0</v>
      </c>
      <c r="I8" s="144">
        <v>0</v>
      </c>
      <c r="J8" s="144">
        <v>0</v>
      </c>
      <c r="K8" s="144">
        <v>0</v>
      </c>
      <c r="L8" s="144">
        <v>0</v>
      </c>
      <c r="M8" s="144">
        <v>0</v>
      </c>
      <c r="N8" s="144">
        <v>0</v>
      </c>
      <c r="O8" s="144">
        <v>0</v>
      </c>
      <c r="P8" s="148">
        <f>SUM(收入[[#This Row],[1 月]:[12 月]])</f>
        <v>122</v>
      </c>
      <c r="Q8" s="149">
        <v>0.18</v>
      </c>
      <c r="R8" s="151">
        <f>IFERROR(收入[[#This Row],[1 月]]/收入[[#Totals],[1 月]],"-")</f>
        <v>0.16689466484268101</v>
      </c>
      <c r="S8" s="151" t="str">
        <f>IFERROR(收入[[#This Row],[2 月]]/收入[[#Totals],[2 月]],"-")</f>
        <v>-</v>
      </c>
      <c r="T8" s="151" t="str">
        <f>IFERROR(收入[[#This Row],[3 月]]/收入[[#Totals],[3 月]],"-")</f>
        <v>-</v>
      </c>
      <c r="U8" s="151" t="str">
        <f>IFERROR(收入[[#This Row],[4 月]]/收入[[#Totals],[4 月]],"-")</f>
        <v>-</v>
      </c>
      <c r="V8" s="151" t="str">
        <f>IFERROR(收入[[#This Row],[5 月]]/收入[[#Totals],[5 月]],"-")</f>
        <v>-</v>
      </c>
      <c r="W8" s="151" t="str">
        <f>IFERROR(收入[[#This Row],[6 月]]/收入[[#Totals],[6 月]],"-")</f>
        <v>-</v>
      </c>
      <c r="X8" s="151" t="str">
        <f>IFERROR(收入[[#This Row],[7 月]]/收入[[#Totals],[7 月]],"-")</f>
        <v>-</v>
      </c>
      <c r="Y8" s="151" t="str">
        <f>IFERROR(收入[[#This Row],[8 月]]/收入[[#Totals],[8 月]],"-")</f>
        <v>-</v>
      </c>
      <c r="Z8" s="151" t="str">
        <f>IFERROR(收入[[#This Row],[9 月]]/收入[[#Totals],[9 月]],"-")</f>
        <v>-</v>
      </c>
      <c r="AA8" s="151" t="str">
        <f>IFERROR(收入[[#This Row],[10 月]]/收入[[#Totals],[10 月]],"-")</f>
        <v>-</v>
      </c>
      <c r="AB8" s="151" t="str">
        <f>IFERROR(收入[[#This Row],[11 月]]/收入[[#Totals],[11 月]],"-")</f>
        <v>-</v>
      </c>
      <c r="AC8" s="151" t="str">
        <f>IFERROR(收入[[#This Row],[12 月]]/收入[[#Totals],[12 月]],"-")</f>
        <v>-</v>
      </c>
      <c r="AD8" s="151">
        <f>IFERROR(收入[[#This Row],[年度]]/收入[[#Totals],[年度]],"-")</f>
        <v>0.16689466484268101</v>
      </c>
    </row>
    <row r="9" spans="2:31" ht="30" customHeight="1">
      <c r="B9" s="89" t="s">
        <v>196</v>
      </c>
      <c r="C9" s="145"/>
      <c r="D9" s="144">
        <v>166</v>
      </c>
      <c r="E9" s="144">
        <v>0</v>
      </c>
      <c r="F9" s="144">
        <v>0</v>
      </c>
      <c r="G9" s="144">
        <v>0</v>
      </c>
      <c r="H9" s="144">
        <v>0</v>
      </c>
      <c r="I9" s="144">
        <v>0</v>
      </c>
      <c r="J9" s="144">
        <v>0</v>
      </c>
      <c r="K9" s="144">
        <v>0</v>
      </c>
      <c r="L9" s="144">
        <v>0</v>
      </c>
      <c r="M9" s="144">
        <v>0</v>
      </c>
      <c r="N9" s="144">
        <v>0</v>
      </c>
      <c r="O9" s="144">
        <v>0</v>
      </c>
      <c r="P9" s="148">
        <f>SUM(收入[[#This Row],[1 月]:[12 月]])</f>
        <v>166</v>
      </c>
      <c r="Q9" s="149">
        <v>0.19</v>
      </c>
      <c r="R9" s="151">
        <f>IFERROR(收入[[#This Row],[1 月]]/收入[[#Totals],[1 月]],"-")</f>
        <v>0.22708618331053401</v>
      </c>
      <c r="S9" s="151" t="str">
        <f>IFERROR(收入[[#This Row],[2 月]]/收入[[#Totals],[2 月]],"-")</f>
        <v>-</v>
      </c>
      <c r="T9" s="151" t="str">
        <f>IFERROR(收入[[#This Row],[3 月]]/收入[[#Totals],[3 月]],"-")</f>
        <v>-</v>
      </c>
      <c r="U9" s="151" t="str">
        <f>IFERROR(收入[[#This Row],[4 月]]/收入[[#Totals],[4 月]],"-")</f>
        <v>-</v>
      </c>
      <c r="V9" s="151" t="str">
        <f>IFERROR(收入[[#This Row],[5 月]]/收入[[#Totals],[5 月]],"-")</f>
        <v>-</v>
      </c>
      <c r="W9" s="151" t="str">
        <f>IFERROR(收入[[#This Row],[6 月]]/收入[[#Totals],[6 月]],"-")</f>
        <v>-</v>
      </c>
      <c r="X9" s="151" t="str">
        <f>IFERROR(收入[[#This Row],[7 月]]/收入[[#Totals],[7 月]],"-")</f>
        <v>-</v>
      </c>
      <c r="Y9" s="151" t="str">
        <f>IFERROR(收入[[#This Row],[8 月]]/收入[[#Totals],[8 月]],"-")</f>
        <v>-</v>
      </c>
      <c r="Z9" s="151" t="str">
        <f>IFERROR(收入[[#This Row],[9 月]]/收入[[#Totals],[9 月]],"-")</f>
        <v>-</v>
      </c>
      <c r="AA9" s="151" t="str">
        <f>IFERROR(收入[[#This Row],[10 月]]/收入[[#Totals],[10 月]],"-")</f>
        <v>-</v>
      </c>
      <c r="AB9" s="151" t="str">
        <f>IFERROR(收入[[#This Row],[11 月]]/收入[[#Totals],[11 月]],"-")</f>
        <v>-</v>
      </c>
      <c r="AC9" s="151" t="str">
        <f>IFERROR(收入[[#This Row],[12 月]]/收入[[#Totals],[12 月]],"-")</f>
        <v>-</v>
      </c>
      <c r="AD9" s="151">
        <f>IFERROR(收入[[#This Row],[年度]]/收入[[#Totals],[年度]],"-")</f>
        <v>0.22708618331053401</v>
      </c>
    </row>
    <row r="10" spans="2:31" ht="30" customHeight="1">
      <c r="B10" s="89" t="s">
        <v>197</v>
      </c>
      <c r="C10" s="145"/>
      <c r="D10" s="144">
        <v>21</v>
      </c>
      <c r="E10" s="144">
        <v>0</v>
      </c>
      <c r="F10" s="144">
        <v>0</v>
      </c>
      <c r="G10" s="144">
        <v>0</v>
      </c>
      <c r="H10" s="144">
        <v>0</v>
      </c>
      <c r="I10" s="144">
        <v>0</v>
      </c>
      <c r="J10" s="144">
        <v>0</v>
      </c>
      <c r="K10" s="144">
        <v>0</v>
      </c>
      <c r="L10" s="144">
        <v>0</v>
      </c>
      <c r="M10" s="144">
        <v>0</v>
      </c>
      <c r="N10" s="144">
        <v>0</v>
      </c>
      <c r="O10" s="144">
        <v>0</v>
      </c>
      <c r="P10" s="148">
        <f>SUM(收入[[#This Row],[1 月]:[12 月]])</f>
        <v>21</v>
      </c>
      <c r="Q10" s="149">
        <v>0.11</v>
      </c>
      <c r="R10" s="151">
        <f>IFERROR(收入[[#This Row],[1 月]]/收入[[#Totals],[1 月]],"-")</f>
        <v>2.8727770177838601E-2</v>
      </c>
      <c r="S10" s="151" t="str">
        <f>IFERROR(收入[[#This Row],[2 月]]/收入[[#Totals],[2 月]],"-")</f>
        <v>-</v>
      </c>
      <c r="T10" s="151" t="str">
        <f>IFERROR(收入[[#This Row],[3 月]]/收入[[#Totals],[3 月]],"-")</f>
        <v>-</v>
      </c>
      <c r="U10" s="151" t="str">
        <f>IFERROR(收入[[#This Row],[4 月]]/收入[[#Totals],[4 月]],"-")</f>
        <v>-</v>
      </c>
      <c r="V10" s="151" t="str">
        <f>IFERROR(收入[[#This Row],[5 月]]/收入[[#Totals],[5 月]],"-")</f>
        <v>-</v>
      </c>
      <c r="W10" s="151" t="str">
        <f>IFERROR(收入[[#This Row],[6 月]]/收入[[#Totals],[6 月]],"-")</f>
        <v>-</v>
      </c>
      <c r="X10" s="151" t="str">
        <f>IFERROR(收入[[#This Row],[7 月]]/收入[[#Totals],[7 月]],"-")</f>
        <v>-</v>
      </c>
      <c r="Y10" s="151" t="str">
        <f>IFERROR(收入[[#This Row],[8 月]]/收入[[#Totals],[8 月]],"-")</f>
        <v>-</v>
      </c>
      <c r="Z10" s="151" t="str">
        <f>IFERROR(收入[[#This Row],[9 月]]/收入[[#Totals],[9 月]],"-")</f>
        <v>-</v>
      </c>
      <c r="AA10" s="151" t="str">
        <f>IFERROR(收入[[#This Row],[10 月]]/收入[[#Totals],[10 月]],"-")</f>
        <v>-</v>
      </c>
      <c r="AB10" s="151" t="str">
        <f>IFERROR(收入[[#This Row],[11 月]]/收入[[#Totals],[11 月]],"-")</f>
        <v>-</v>
      </c>
      <c r="AC10" s="151" t="str">
        <f>IFERROR(收入[[#This Row],[12 月]]/收入[[#Totals],[12 月]],"-")</f>
        <v>-</v>
      </c>
      <c r="AD10" s="151">
        <f>IFERROR(收入[[#This Row],[年度]]/收入[[#Totals],[年度]],"-")</f>
        <v>2.8727770177838601E-2</v>
      </c>
    </row>
    <row r="11" spans="2:31" ht="30" customHeight="1">
      <c r="B11" s="89" t="s">
        <v>198</v>
      </c>
      <c r="C11" s="145"/>
      <c r="D11" s="144">
        <v>70</v>
      </c>
      <c r="E11" s="144">
        <v>0</v>
      </c>
      <c r="F11" s="144">
        <v>0</v>
      </c>
      <c r="G11" s="144">
        <v>0</v>
      </c>
      <c r="H11" s="144">
        <v>0</v>
      </c>
      <c r="I11" s="144">
        <v>0</v>
      </c>
      <c r="J11" s="144">
        <v>0</v>
      </c>
      <c r="K11" s="144">
        <v>0</v>
      </c>
      <c r="L11" s="144">
        <v>0</v>
      </c>
      <c r="M11" s="144">
        <v>0</v>
      </c>
      <c r="N11" s="144">
        <v>0</v>
      </c>
      <c r="O11" s="144">
        <v>0</v>
      </c>
      <c r="P11" s="148">
        <f>SUM(收入[[#This Row],[1 月]:[12 月]])</f>
        <v>70</v>
      </c>
      <c r="Q11" s="149">
        <v>0.2</v>
      </c>
      <c r="R11" s="151">
        <f>IFERROR(收入[[#This Row],[1 月]]/收入[[#Totals],[1 月]],"-")</f>
        <v>9.5759233926128604E-2</v>
      </c>
      <c r="S11" s="151" t="str">
        <f>IFERROR(收入[[#This Row],[2 月]]/收入[[#Totals],[2 月]],"-")</f>
        <v>-</v>
      </c>
      <c r="T11" s="151" t="str">
        <f>IFERROR(收入[[#This Row],[3 月]]/收入[[#Totals],[3 月]],"-")</f>
        <v>-</v>
      </c>
      <c r="U11" s="151" t="str">
        <f>IFERROR(收入[[#This Row],[4 月]]/收入[[#Totals],[4 月]],"-")</f>
        <v>-</v>
      </c>
      <c r="V11" s="151" t="str">
        <f>IFERROR(收入[[#This Row],[5 月]]/收入[[#Totals],[5 月]],"-")</f>
        <v>-</v>
      </c>
      <c r="W11" s="151" t="str">
        <f>IFERROR(收入[[#This Row],[6 月]]/收入[[#Totals],[6 月]],"-")</f>
        <v>-</v>
      </c>
      <c r="X11" s="151" t="str">
        <f>IFERROR(收入[[#This Row],[7 月]]/收入[[#Totals],[7 月]],"-")</f>
        <v>-</v>
      </c>
      <c r="Y11" s="151" t="str">
        <f>IFERROR(收入[[#This Row],[8 月]]/收入[[#Totals],[8 月]],"-")</f>
        <v>-</v>
      </c>
      <c r="Z11" s="151" t="str">
        <f>IFERROR(收入[[#This Row],[9 月]]/收入[[#Totals],[9 月]],"-")</f>
        <v>-</v>
      </c>
      <c r="AA11" s="151" t="str">
        <f>IFERROR(收入[[#This Row],[10 月]]/收入[[#Totals],[10 月]],"-")</f>
        <v>-</v>
      </c>
      <c r="AB11" s="151" t="str">
        <f>IFERROR(收入[[#This Row],[11 月]]/收入[[#Totals],[11 月]],"-")</f>
        <v>-</v>
      </c>
      <c r="AC11" s="151" t="str">
        <f>IFERROR(收入[[#This Row],[12 月]]/收入[[#Totals],[12 月]],"-")</f>
        <v>-</v>
      </c>
      <c r="AD11" s="151">
        <f>IFERROR(收入[[#This Row],[年度]]/收入[[#Totals],[年度]],"-")</f>
        <v>9.5759233926128604E-2</v>
      </c>
    </row>
    <row r="12" spans="2:31" ht="30" customHeight="1">
      <c r="B12" s="89" t="s">
        <v>199</v>
      </c>
      <c r="C12" s="145"/>
      <c r="D12" s="144">
        <v>61</v>
      </c>
      <c r="E12" s="144">
        <v>0</v>
      </c>
      <c r="F12" s="144">
        <v>0</v>
      </c>
      <c r="G12" s="144">
        <v>0</v>
      </c>
      <c r="H12" s="144">
        <v>0</v>
      </c>
      <c r="I12" s="144">
        <v>0</v>
      </c>
      <c r="J12" s="144">
        <v>0</v>
      </c>
      <c r="K12" s="144">
        <v>0</v>
      </c>
      <c r="L12" s="144">
        <v>0</v>
      </c>
      <c r="M12" s="144">
        <v>0</v>
      </c>
      <c r="N12" s="144">
        <v>0</v>
      </c>
      <c r="O12" s="144">
        <v>0</v>
      </c>
      <c r="P12" s="148">
        <f>SUM(收入[[#This Row],[1 月]:[12 月]])</f>
        <v>61</v>
      </c>
      <c r="Q12" s="149">
        <v>0.1</v>
      </c>
      <c r="R12" s="151">
        <f>IFERROR(收入[[#This Row],[1 月]]/收入[[#Totals],[1 月]],"-")</f>
        <v>8.34473324213406E-2</v>
      </c>
      <c r="S12" s="151" t="str">
        <f>IFERROR(收入[[#This Row],[2 月]]/收入[[#Totals],[2 月]],"-")</f>
        <v>-</v>
      </c>
      <c r="T12" s="151" t="str">
        <f>IFERROR(收入[[#This Row],[3 月]]/收入[[#Totals],[3 月]],"-")</f>
        <v>-</v>
      </c>
      <c r="U12" s="151" t="str">
        <f>IFERROR(收入[[#This Row],[4 月]]/收入[[#Totals],[4 月]],"-")</f>
        <v>-</v>
      </c>
      <c r="V12" s="151" t="str">
        <f>IFERROR(收入[[#This Row],[5 月]]/收入[[#Totals],[5 月]],"-")</f>
        <v>-</v>
      </c>
      <c r="W12" s="151" t="str">
        <f>IFERROR(收入[[#This Row],[6 月]]/收入[[#Totals],[6 月]],"-")</f>
        <v>-</v>
      </c>
      <c r="X12" s="151" t="str">
        <f>IFERROR(收入[[#This Row],[7 月]]/收入[[#Totals],[7 月]],"-")</f>
        <v>-</v>
      </c>
      <c r="Y12" s="151" t="str">
        <f>IFERROR(收入[[#This Row],[8 月]]/收入[[#Totals],[8 月]],"-")</f>
        <v>-</v>
      </c>
      <c r="Z12" s="151" t="str">
        <f>IFERROR(收入[[#This Row],[9 月]]/收入[[#Totals],[9 月]],"-")</f>
        <v>-</v>
      </c>
      <c r="AA12" s="151" t="str">
        <f>IFERROR(收入[[#This Row],[10 月]]/收入[[#Totals],[10 月]],"-")</f>
        <v>-</v>
      </c>
      <c r="AB12" s="151" t="str">
        <f>IFERROR(收入[[#This Row],[11 月]]/收入[[#Totals],[11 月]],"-")</f>
        <v>-</v>
      </c>
      <c r="AC12" s="151" t="str">
        <f>IFERROR(收入[[#This Row],[12 月]]/收入[[#Totals],[12 月]],"-")</f>
        <v>-</v>
      </c>
      <c r="AD12" s="151">
        <f>IFERROR(收入[[#This Row],[年度]]/收入[[#Totals],[年度]],"-")</f>
        <v>8.34473324213406E-2</v>
      </c>
    </row>
    <row r="13" spans="2:31" ht="30" customHeight="1">
      <c r="B13" s="89" t="s">
        <v>200</v>
      </c>
      <c r="C13" s="145"/>
      <c r="D13" s="144">
        <v>105</v>
      </c>
      <c r="E13" s="144">
        <v>0</v>
      </c>
      <c r="F13" s="144">
        <v>0</v>
      </c>
      <c r="G13" s="144">
        <v>0</v>
      </c>
      <c r="H13" s="144">
        <v>0</v>
      </c>
      <c r="I13" s="144">
        <v>0</v>
      </c>
      <c r="J13" s="144">
        <v>0</v>
      </c>
      <c r="K13" s="144">
        <v>0</v>
      </c>
      <c r="L13" s="144">
        <v>0</v>
      </c>
      <c r="M13" s="144">
        <v>0</v>
      </c>
      <c r="N13" s="144">
        <v>0</v>
      </c>
      <c r="O13" s="144">
        <v>0</v>
      </c>
      <c r="P13" s="148">
        <f>SUM(收入[[#This Row],[1 月]:[12 月]])</f>
        <v>105</v>
      </c>
      <c r="Q13" s="149">
        <v>0.1</v>
      </c>
      <c r="R13" s="151">
        <f>IFERROR(收入[[#This Row],[1 月]]/收入[[#Totals],[1 月]],"-")</f>
        <v>0.14363885088919301</v>
      </c>
      <c r="S13" s="151" t="str">
        <f>IFERROR(收入[[#This Row],[2 月]]/收入[[#Totals],[2 月]],"-")</f>
        <v>-</v>
      </c>
      <c r="T13" s="151" t="str">
        <f>IFERROR(收入[[#This Row],[3 月]]/收入[[#Totals],[3 月]],"-")</f>
        <v>-</v>
      </c>
      <c r="U13" s="151" t="str">
        <f>IFERROR(收入[[#This Row],[4 月]]/收入[[#Totals],[4 月]],"-")</f>
        <v>-</v>
      </c>
      <c r="V13" s="151" t="str">
        <f>IFERROR(收入[[#This Row],[5 月]]/收入[[#Totals],[5 月]],"-")</f>
        <v>-</v>
      </c>
      <c r="W13" s="151" t="str">
        <f>IFERROR(收入[[#This Row],[6 月]]/收入[[#Totals],[6 月]],"-")</f>
        <v>-</v>
      </c>
      <c r="X13" s="151" t="str">
        <f>IFERROR(收入[[#This Row],[7 月]]/收入[[#Totals],[7 月]],"-")</f>
        <v>-</v>
      </c>
      <c r="Y13" s="151" t="str">
        <f>IFERROR(收入[[#This Row],[8 月]]/收入[[#Totals],[8 月]],"-")</f>
        <v>-</v>
      </c>
      <c r="Z13" s="151" t="str">
        <f>IFERROR(收入[[#This Row],[9 月]]/收入[[#Totals],[9 月]],"-")</f>
        <v>-</v>
      </c>
      <c r="AA13" s="151" t="str">
        <f>IFERROR(收入[[#This Row],[10 月]]/收入[[#Totals],[10 月]],"-")</f>
        <v>-</v>
      </c>
      <c r="AB13" s="151" t="str">
        <f>IFERROR(收入[[#This Row],[11 月]]/收入[[#Totals],[11 月]],"-")</f>
        <v>-</v>
      </c>
      <c r="AC13" s="151" t="str">
        <f>IFERROR(收入[[#This Row],[12 月]]/收入[[#Totals],[12 月]],"-")</f>
        <v>-</v>
      </c>
      <c r="AD13" s="151">
        <f>IFERROR(收入[[#This Row],[年度]]/收入[[#Totals],[年度]],"-")</f>
        <v>0.14363885088919301</v>
      </c>
    </row>
    <row r="14" spans="2:31" s="77" customFormat="1" ht="30" customHeight="1">
      <c r="B14" s="87" t="s">
        <v>201</v>
      </c>
      <c r="C14" s="146"/>
      <c r="D14" s="96">
        <f>SUBTOTAL(109,收入[1 月])</f>
        <v>731</v>
      </c>
      <c r="E14" s="96">
        <f>SUBTOTAL(109,收入[2 月])</f>
        <v>0</v>
      </c>
      <c r="F14" s="96">
        <f>SUBTOTAL(109,收入[3 月])</f>
        <v>0</v>
      </c>
      <c r="G14" s="96">
        <f>SUBTOTAL(109,收入[4 月])</f>
        <v>0</v>
      </c>
      <c r="H14" s="96">
        <f>SUBTOTAL(109,收入[5 月])</f>
        <v>0</v>
      </c>
      <c r="I14" s="96">
        <f>SUBTOTAL(109,收入[6 月])</f>
        <v>0</v>
      </c>
      <c r="J14" s="96">
        <f>SUBTOTAL(109,收入[7 月])</f>
        <v>0</v>
      </c>
      <c r="K14" s="96">
        <f>SUBTOTAL(109,收入[8 月])</f>
        <v>0</v>
      </c>
      <c r="L14" s="96">
        <f>SUBTOTAL(109,收入[9 月])</f>
        <v>0</v>
      </c>
      <c r="M14" s="96">
        <f>SUBTOTAL(109,收入[10 月])</f>
        <v>0</v>
      </c>
      <c r="N14" s="96">
        <f>SUBTOTAL(109,收入[11 月])</f>
        <v>0</v>
      </c>
      <c r="O14" s="96">
        <f>SUBTOTAL(109,收入[12 月])</f>
        <v>0</v>
      </c>
      <c r="P14" s="96">
        <f>SUBTOTAL(109,收入[年度])</f>
        <v>731</v>
      </c>
      <c r="Q14" s="112">
        <f>SUBTOTAL(109,收入[行业百分比])</f>
        <v>1</v>
      </c>
      <c r="R14" s="112">
        <f>SUBTOTAL(109,收入[1 月 %])</f>
        <v>1</v>
      </c>
      <c r="S14" s="112">
        <f>SUBTOTAL(109,收入[2 月 %])</f>
        <v>0</v>
      </c>
      <c r="T14" s="112">
        <f>SUBTOTAL(109,收入[3 月 %])</f>
        <v>0</v>
      </c>
      <c r="U14" s="112">
        <f>SUBTOTAL(109,收入[4 月 %])</f>
        <v>0</v>
      </c>
      <c r="V14" s="112">
        <f>SUBTOTAL(109,收入[5 月 %])</f>
        <v>0</v>
      </c>
      <c r="W14" s="112">
        <f>SUBTOTAL(109,收入[6 月 %])</f>
        <v>0</v>
      </c>
      <c r="X14" s="112">
        <f>SUBTOTAL(109,收入[7 月 %])</f>
        <v>0</v>
      </c>
      <c r="Y14" s="112">
        <f>SUBTOTAL(109,收入[8 月 %])</f>
        <v>0</v>
      </c>
      <c r="Z14" s="112">
        <f>SUBTOTAL(109,收入[9 月 %])</f>
        <v>0</v>
      </c>
      <c r="AA14" s="112">
        <f>SUBTOTAL(109,收入[10 月 %])</f>
        <v>0</v>
      </c>
      <c r="AB14" s="112">
        <f>SUBTOTAL(109,收入[11 月 %])</f>
        <v>0</v>
      </c>
      <c r="AC14" s="112">
        <f>SUBTOTAL(109,收入[12 月 %])</f>
        <v>0</v>
      </c>
      <c r="AD14" s="112">
        <f>SUBTOTAL(109,收入[年度 %])</f>
        <v>1</v>
      </c>
    </row>
  </sheetData>
  <phoneticPr fontId="105" type="noConversion"/>
  <dataValidations count="9">
    <dataValidation allowBlank="1" showInputMessage="1" showErrorMessage="1" prompt="此工作表计算不同源的每月总销售额、每年总销售额以及年度总销售额。" sqref="A1" xr:uid="{00000000-0002-0000-0400-000000000000}"/>
    <dataValidation allowBlank="1" showInputMessage="1" showErrorMessage="1" prompt="在此单元格中输入公司名称" sqref="B2" xr:uid="{00000000-0002-0000-0400-000001000000}"/>
    <dataValidation allowBlank="1" showInputMessage="1" showErrorMessage="1" prompt="预测标题位于此单元格中。在下面的“收入”表中输入值以计算总销售额" sqref="B4" xr:uid="{00000000-0002-0000-0400-000002000000}"/>
    <dataValidation allowBlank="1" showInputMessage="1" showErrorMessage="1" prompt="在此列中输入销售产生的收入" sqref="B6" xr:uid="{00000000-0002-0000-0400-000003000000}"/>
    <dataValidation allowBlank="1" showInputMessage="1" showErrorMessage="1" prompt="此列是随时间推移的收入趋势图" sqref="C6" xr:uid="{00000000-0002-0000-0400-000004000000}"/>
    <dataValidation allowBlank="1" showInputMessage="1" showErrorMessage="1" prompt="“年收入”在此列中自动计算" sqref="P6" xr:uid="{00000000-0002-0000-0400-000005000000}"/>
    <dataValidation allowBlank="1" showInputMessage="1" showErrorMessage="1" prompt="指数率位于此列中" sqref="Q6" xr:uid="{00000000-0002-0000-0400-000006000000}"/>
    <dataValidation allowBlank="1" showInputMessage="1" showErrorMessage="1" prompt="针对此单元格中的月份，在此列中自动计算不同源的销售额占该月总销售额的比例" sqref="R6:AC6" xr:uid="{00000000-0002-0000-0400-000007000000}"/>
    <dataValidation allowBlank="1" showInputMessage="1" showErrorMessage="1" prompt="在此列中自动计算不同源的销售额占该年总销售额的比例" sqref="AD6" xr:uid="{00000000-0002-0000-0400-000008000000}"/>
  </dataValidations>
  <printOptions horizontalCentered="1"/>
  <pageMargins left="0.25" right="0.25" top="0.75" bottom="0.75" header="0.3" footer="0.3"/>
  <pageSetup paperSize="9" fitToHeight="0" orientation="landscape"/>
  <headerFooter differentFirst="1"/>
  <tableParts count="1">
    <tablePart r:id="rId1"/>
  </tableParts>
  <extLst>
    <ext xmlns:x14="http://schemas.microsoft.com/office/spreadsheetml/2009/9/main" uri="{05C60535-1F16-4fd2-B633-F4F36F0B64E0}">
      <x14:sparklineGroups xmlns:xm="http://schemas.microsoft.com/office/excel/2006/main">
        <x14:sparklineGroup lineWeight="1" displayEmptyCellsAs="gap" high="1" low="1" xr2:uid="{00000000-0003-0000-0400-000004000000}">
          <x14:colorSeries theme="0"/>
          <x14:colorNegative theme="5"/>
          <x14:colorAxis rgb="FF000000"/>
          <x14:colorMarkers theme="4" tint="-0.499984740745262"/>
          <x14:colorFirst theme="4" tint="0.39994506668294322"/>
          <x14:colorLast theme="4" tint="0.39994506668294322"/>
          <x14:colorHigh theme="1"/>
          <x14:colorLow theme="3"/>
          <x14:sparklines>
            <x14:sparkline>
              <xm:f>收入!D14:O14</xm:f>
              <xm:sqref>C14</xm:sqref>
            </x14:sparkline>
          </x14:sparklines>
        </x14:sparklineGroup>
        <x14:sparklineGroup lineWeight="1" displayEmptyCellsAs="gap" high="1" low="1" xr2:uid="{00000000-0003-0000-0400-000005000000}">
          <x14:colorSeries theme="3"/>
          <x14:colorNegative theme="5"/>
          <x14:colorAxis rgb="FF000000"/>
          <x14:colorMarkers theme="4" tint="-0.499984740745262"/>
          <x14:colorFirst theme="4" tint="0.39994506668294322"/>
          <x14:colorLast theme="4" tint="0.39994506668294322"/>
          <x14:colorHigh theme="1"/>
          <x14:colorLow theme="3"/>
          <x14:sparklines>
            <x14:sparkline>
              <xm:f>收入!$D$7:$O$7</xm:f>
              <xm:sqref>C7</xm:sqref>
            </x14:sparkline>
            <x14:sparkline>
              <xm:f>收入!$D$8:$O$8</xm:f>
              <xm:sqref>C8</xm:sqref>
            </x14:sparkline>
            <x14:sparkline>
              <xm:f>收入!$D$9:$O$9</xm:f>
              <xm:sqref>C9</xm:sqref>
            </x14:sparkline>
            <x14:sparkline>
              <xm:f>收入!$D$10:$O$10</xm:f>
              <xm:sqref>C10</xm:sqref>
            </x14:sparkline>
            <x14:sparkline>
              <xm:f>收入!$D$11:$O$11</xm:f>
              <xm:sqref>C11</xm:sqref>
            </x14:sparkline>
            <x14:sparkline>
              <xm:f>收入!$D$12:$O$12</xm:f>
              <xm:sqref>C12</xm:sqref>
            </x14:sparkline>
            <x14:sparkline>
              <xm:f>收入!$D$13:$O$13</xm:f>
              <xm:sqref>C13</xm:sqref>
            </x14:sparkline>
          </x14:sparklines>
        </x14:sparklineGroup>
      </x14:sparklineGroup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B1:AE17"/>
  <sheetViews>
    <sheetView showGridLines="0" zoomScale="105" zoomScaleNormal="105" workbookViewId="0">
      <selection activeCell="C9" sqref="C9"/>
    </sheetView>
  </sheetViews>
  <sheetFormatPr baseColWidth="10" defaultColWidth="10" defaultRowHeight="30" customHeight="1"/>
  <cols>
    <col min="1" max="1" width="5.6640625" style="78" customWidth="1"/>
    <col min="2" max="2" width="35.6640625" style="122" customWidth="1"/>
    <col min="3" max="3" width="35.6640625" style="78" customWidth="1"/>
    <col min="4" max="30" width="10.6640625" style="78" customWidth="1"/>
    <col min="31" max="31" width="5.6640625" style="78" customWidth="1"/>
    <col min="32" max="16384" width="10" style="78"/>
  </cols>
  <sheetData>
    <row r="1" spans="2:31" ht="25" customHeight="1">
      <c r="B1" s="78"/>
      <c r="AE1" s="78" t="s">
        <v>42</v>
      </c>
    </row>
    <row r="2" spans="2:31" ht="60" customHeight="1">
      <c r="B2" s="123" t="str">
        <f>Company_Name</f>
        <v>化妆工作室</v>
      </c>
      <c r="C2" s="123"/>
      <c r="J2" s="97"/>
      <c r="Q2" s="104"/>
      <c r="R2" s="104"/>
      <c r="S2" s="104"/>
      <c r="T2" s="104"/>
      <c r="U2" s="104"/>
      <c r="V2" s="104"/>
      <c r="W2" s="104"/>
      <c r="X2" s="104"/>
      <c r="Y2" s="104"/>
      <c r="Z2" s="104"/>
      <c r="AA2" s="104"/>
      <c r="AB2" s="104"/>
      <c r="AC2" s="104"/>
      <c r="AD2" s="137"/>
    </row>
    <row r="3" spans="2:31" ht="10" customHeight="1">
      <c r="B3" s="81"/>
      <c r="C3" s="82"/>
      <c r="J3" s="97"/>
      <c r="Q3" s="104"/>
      <c r="R3" s="104"/>
      <c r="S3" s="104"/>
      <c r="T3" s="104"/>
      <c r="U3" s="104"/>
      <c r="V3" s="104"/>
      <c r="W3" s="104"/>
      <c r="X3" s="104"/>
      <c r="Y3" s="104"/>
      <c r="Z3" s="104"/>
      <c r="AA3" s="104"/>
      <c r="AB3" s="104"/>
      <c r="AC3" s="104"/>
      <c r="AD3" s="137"/>
    </row>
    <row r="4" spans="2:31" ht="50" customHeight="1">
      <c r="B4" s="83" t="str">
        <f>Wksht_Title</f>
        <v>损益预测</v>
      </c>
      <c r="C4" s="83"/>
      <c r="D4" s="84"/>
      <c r="E4" s="85"/>
      <c r="F4" s="84"/>
      <c r="G4" s="85"/>
      <c r="H4" s="84"/>
      <c r="I4" s="84"/>
      <c r="J4" s="84"/>
      <c r="K4" s="85"/>
      <c r="L4" s="85"/>
      <c r="M4" s="85"/>
      <c r="N4" s="85"/>
      <c r="O4" s="85"/>
      <c r="P4" s="84"/>
      <c r="Q4" s="84"/>
      <c r="R4" s="84"/>
      <c r="S4" s="84"/>
      <c r="T4" s="84"/>
      <c r="U4" s="84"/>
      <c r="V4" s="84"/>
      <c r="W4" s="84"/>
      <c r="X4" s="105"/>
      <c r="Y4" s="105"/>
      <c r="Z4" s="105"/>
      <c r="AA4" s="105"/>
      <c r="AB4" s="138"/>
      <c r="AC4" s="84"/>
      <c r="AD4" s="84"/>
    </row>
    <row r="5" spans="2:31" ht="25" customHeight="1">
      <c r="B5" s="124"/>
      <c r="C5" s="124"/>
      <c r="E5" s="86"/>
      <c r="G5" s="86"/>
      <c r="K5" s="86"/>
      <c r="L5" s="86"/>
      <c r="M5" s="86"/>
      <c r="N5" s="86"/>
      <c r="O5" s="86"/>
      <c r="X5" s="106"/>
      <c r="Y5" s="106"/>
      <c r="Z5" s="106"/>
      <c r="AA5" s="106"/>
      <c r="AB5" s="119"/>
      <c r="AC5" s="119"/>
      <c r="AD5" s="119"/>
    </row>
    <row r="6" spans="2:31" s="121" customFormat="1" ht="30" customHeight="1">
      <c r="B6" s="87" t="s">
        <v>202</v>
      </c>
      <c r="C6" s="87" t="s">
        <v>167</v>
      </c>
      <c r="D6" s="88" t="s">
        <v>168</v>
      </c>
      <c r="E6" s="88" t="s">
        <v>169</v>
      </c>
      <c r="F6" s="88" t="s">
        <v>170</v>
      </c>
      <c r="G6" s="88" t="s">
        <v>171</v>
      </c>
      <c r="H6" s="88" t="s">
        <v>172</v>
      </c>
      <c r="I6" s="88" t="s">
        <v>173</v>
      </c>
      <c r="J6" s="88" t="s">
        <v>174</v>
      </c>
      <c r="K6" s="88" t="s">
        <v>175</v>
      </c>
      <c r="L6" s="88" t="s">
        <v>176</v>
      </c>
      <c r="M6" s="88" t="s">
        <v>177</v>
      </c>
      <c r="N6" s="88" t="s">
        <v>178</v>
      </c>
      <c r="O6" s="88" t="s">
        <v>179</v>
      </c>
      <c r="P6" s="88" t="s">
        <v>180</v>
      </c>
      <c r="Q6" s="88" t="s">
        <v>203</v>
      </c>
      <c r="R6" s="88" t="s">
        <v>182</v>
      </c>
      <c r="S6" s="88" t="s">
        <v>183</v>
      </c>
      <c r="T6" s="88" t="s">
        <v>184</v>
      </c>
      <c r="U6" s="88" t="s">
        <v>185</v>
      </c>
      <c r="V6" s="88" t="s">
        <v>186</v>
      </c>
      <c r="W6" s="88" t="s">
        <v>187</v>
      </c>
      <c r="X6" s="88" t="s">
        <v>188</v>
      </c>
      <c r="Y6" s="88" t="s">
        <v>189</v>
      </c>
      <c r="Z6" s="88" t="s">
        <v>190</v>
      </c>
      <c r="AA6" s="88" t="s">
        <v>191</v>
      </c>
      <c r="AB6" s="88" t="s">
        <v>192</v>
      </c>
      <c r="AC6" s="88" t="s">
        <v>193</v>
      </c>
      <c r="AD6" s="88" t="s">
        <v>194</v>
      </c>
    </row>
    <row r="7" spans="2:31" ht="30" customHeight="1">
      <c r="B7" s="89" t="s">
        <v>204</v>
      </c>
      <c r="C7" s="125"/>
      <c r="D7" s="91">
        <v>61</v>
      </c>
      <c r="E7" s="91">
        <v>0</v>
      </c>
      <c r="F7" s="91">
        <v>0</v>
      </c>
      <c r="G7" s="91">
        <v>0</v>
      </c>
      <c r="H7" s="91">
        <v>0</v>
      </c>
      <c r="I7" s="91">
        <v>0</v>
      </c>
      <c r="J7" s="91">
        <v>0</v>
      </c>
      <c r="K7" s="91">
        <v>0</v>
      </c>
      <c r="L7" s="91">
        <v>0</v>
      </c>
      <c r="M7" s="91">
        <v>0</v>
      </c>
      <c r="N7" s="91">
        <v>0</v>
      </c>
      <c r="O7" s="91">
        <v>0</v>
      </c>
      <c r="P7" s="129">
        <f>SUM(CostofSales[[#This Row],[1 月]:[12 月]])</f>
        <v>61</v>
      </c>
      <c r="Q7" s="107">
        <v>0.12</v>
      </c>
      <c r="R7" s="133">
        <f t="shared" ref="R7:AD14" si="0">D7/D$14</f>
        <v>0.30808080808080801</v>
      </c>
      <c r="S7" s="133" t="e">
        <f t="shared" si="0"/>
        <v>#DIV/0!</v>
      </c>
      <c r="T7" s="133" t="e">
        <f t="shared" si="0"/>
        <v>#DIV/0!</v>
      </c>
      <c r="U7" s="133" t="e">
        <f t="shared" si="0"/>
        <v>#DIV/0!</v>
      </c>
      <c r="V7" s="133" t="e">
        <f t="shared" si="0"/>
        <v>#DIV/0!</v>
      </c>
      <c r="W7" s="133" t="e">
        <f t="shared" si="0"/>
        <v>#DIV/0!</v>
      </c>
      <c r="X7" s="133" t="e">
        <f t="shared" si="0"/>
        <v>#DIV/0!</v>
      </c>
      <c r="Y7" s="133" t="e">
        <f t="shared" si="0"/>
        <v>#DIV/0!</v>
      </c>
      <c r="Z7" s="133" t="e">
        <f t="shared" si="0"/>
        <v>#DIV/0!</v>
      </c>
      <c r="AA7" s="133" t="e">
        <f t="shared" si="0"/>
        <v>#DIV/0!</v>
      </c>
      <c r="AB7" s="133" t="e">
        <f t="shared" si="0"/>
        <v>#DIV/0!</v>
      </c>
      <c r="AC7" s="133" t="e">
        <f t="shared" si="0"/>
        <v>#DIV/0!</v>
      </c>
      <c r="AD7" s="133">
        <f t="shared" si="0"/>
        <v>0.30808080808080801</v>
      </c>
    </row>
    <row r="8" spans="2:31" ht="30" customHeight="1">
      <c r="B8" s="89" t="s">
        <v>144</v>
      </c>
      <c r="C8" s="126"/>
      <c r="D8" s="91">
        <v>7</v>
      </c>
      <c r="E8" s="91">
        <v>0</v>
      </c>
      <c r="F8" s="91">
        <v>0</v>
      </c>
      <c r="G8" s="91">
        <v>0</v>
      </c>
      <c r="H8" s="91">
        <v>0</v>
      </c>
      <c r="I8" s="91">
        <v>0</v>
      </c>
      <c r="J8" s="91">
        <v>0</v>
      </c>
      <c r="K8" s="91">
        <v>0</v>
      </c>
      <c r="L8" s="91">
        <v>0</v>
      </c>
      <c r="M8" s="91">
        <v>0</v>
      </c>
      <c r="N8" s="91">
        <v>0</v>
      </c>
      <c r="O8" s="91">
        <v>0</v>
      </c>
      <c r="P8" s="130">
        <f>SUM(CostofSales[[#This Row],[1 月]:[12 月]])</f>
        <v>7</v>
      </c>
      <c r="Q8" s="107">
        <v>0.18</v>
      </c>
      <c r="R8" s="134">
        <f t="shared" si="0"/>
        <v>3.5353535353535401E-2</v>
      </c>
      <c r="S8" s="134" t="e">
        <f t="shared" si="0"/>
        <v>#DIV/0!</v>
      </c>
      <c r="T8" s="134" t="e">
        <f t="shared" si="0"/>
        <v>#DIV/0!</v>
      </c>
      <c r="U8" s="134" t="e">
        <f t="shared" si="0"/>
        <v>#DIV/0!</v>
      </c>
      <c r="V8" s="134" t="e">
        <f t="shared" si="0"/>
        <v>#DIV/0!</v>
      </c>
      <c r="W8" s="134" t="e">
        <f t="shared" si="0"/>
        <v>#DIV/0!</v>
      </c>
      <c r="X8" s="134" t="e">
        <f t="shared" si="0"/>
        <v>#DIV/0!</v>
      </c>
      <c r="Y8" s="134" t="e">
        <f t="shared" si="0"/>
        <v>#DIV/0!</v>
      </c>
      <c r="Z8" s="134" t="e">
        <f t="shared" si="0"/>
        <v>#DIV/0!</v>
      </c>
      <c r="AA8" s="134" t="e">
        <f t="shared" si="0"/>
        <v>#DIV/0!</v>
      </c>
      <c r="AB8" s="134" t="e">
        <f t="shared" si="0"/>
        <v>#DIV/0!</v>
      </c>
      <c r="AC8" s="134" t="e">
        <f t="shared" si="0"/>
        <v>#DIV/0!</v>
      </c>
      <c r="AD8" s="134">
        <f t="shared" si="0"/>
        <v>3.5353535353535401E-2</v>
      </c>
    </row>
    <row r="9" spans="2:31" ht="30" customHeight="1">
      <c r="B9" s="89" t="s">
        <v>145</v>
      </c>
      <c r="C9" s="126"/>
      <c r="D9" s="91">
        <v>99</v>
      </c>
      <c r="E9" s="91">
        <v>0</v>
      </c>
      <c r="F9" s="91">
        <v>0</v>
      </c>
      <c r="G9" s="91">
        <v>0</v>
      </c>
      <c r="H9" s="91">
        <v>0</v>
      </c>
      <c r="I9" s="91">
        <v>0</v>
      </c>
      <c r="J9" s="91">
        <v>0</v>
      </c>
      <c r="K9" s="91">
        <v>0</v>
      </c>
      <c r="L9" s="91">
        <v>0</v>
      </c>
      <c r="M9" s="91">
        <v>0</v>
      </c>
      <c r="N9" s="91">
        <v>0</v>
      </c>
      <c r="O9" s="91">
        <v>0</v>
      </c>
      <c r="P9" s="130">
        <f>SUM(CostofSales[[#This Row],[1 月]:[12 月]])</f>
        <v>99</v>
      </c>
      <c r="Q9" s="107">
        <v>0.19</v>
      </c>
      <c r="R9" s="134">
        <f t="shared" si="0"/>
        <v>0.5</v>
      </c>
      <c r="S9" s="134" t="e">
        <f t="shared" si="0"/>
        <v>#DIV/0!</v>
      </c>
      <c r="T9" s="134" t="e">
        <f t="shared" si="0"/>
        <v>#DIV/0!</v>
      </c>
      <c r="U9" s="134" t="e">
        <f t="shared" si="0"/>
        <v>#DIV/0!</v>
      </c>
      <c r="V9" s="134" t="e">
        <f t="shared" si="0"/>
        <v>#DIV/0!</v>
      </c>
      <c r="W9" s="134" t="e">
        <f t="shared" si="0"/>
        <v>#DIV/0!</v>
      </c>
      <c r="X9" s="134" t="e">
        <f t="shared" si="0"/>
        <v>#DIV/0!</v>
      </c>
      <c r="Y9" s="134" t="e">
        <f t="shared" si="0"/>
        <v>#DIV/0!</v>
      </c>
      <c r="Z9" s="134" t="e">
        <f t="shared" si="0"/>
        <v>#DIV/0!</v>
      </c>
      <c r="AA9" s="134" t="e">
        <f t="shared" si="0"/>
        <v>#DIV/0!</v>
      </c>
      <c r="AB9" s="134" t="e">
        <f t="shared" si="0"/>
        <v>#DIV/0!</v>
      </c>
      <c r="AC9" s="134" t="e">
        <f t="shared" si="0"/>
        <v>#DIV/0!</v>
      </c>
      <c r="AD9" s="134">
        <f t="shared" si="0"/>
        <v>0.5</v>
      </c>
    </row>
    <row r="10" spans="2:31" ht="30" customHeight="1">
      <c r="B10" s="89" t="s">
        <v>205</v>
      </c>
      <c r="C10" s="126"/>
      <c r="D10" s="91">
        <v>13</v>
      </c>
      <c r="E10" s="91">
        <v>0</v>
      </c>
      <c r="F10" s="91">
        <v>0</v>
      </c>
      <c r="G10" s="91">
        <v>0</v>
      </c>
      <c r="H10" s="91">
        <v>0</v>
      </c>
      <c r="I10" s="91">
        <v>0</v>
      </c>
      <c r="J10" s="91">
        <v>0</v>
      </c>
      <c r="K10" s="91">
        <v>0</v>
      </c>
      <c r="L10" s="91">
        <v>0</v>
      </c>
      <c r="M10" s="91">
        <v>0</v>
      </c>
      <c r="N10" s="91">
        <v>0</v>
      </c>
      <c r="O10" s="91">
        <v>0</v>
      </c>
      <c r="P10" s="130">
        <f>SUM(CostofSales[[#This Row],[1 月]:[12 月]])</f>
        <v>13</v>
      </c>
      <c r="Q10" s="107">
        <v>0.11</v>
      </c>
      <c r="R10" s="134">
        <f t="shared" si="0"/>
        <v>6.5656565656565705E-2</v>
      </c>
      <c r="S10" s="134" t="e">
        <f t="shared" si="0"/>
        <v>#DIV/0!</v>
      </c>
      <c r="T10" s="134" t="e">
        <f t="shared" si="0"/>
        <v>#DIV/0!</v>
      </c>
      <c r="U10" s="134" t="e">
        <f t="shared" si="0"/>
        <v>#DIV/0!</v>
      </c>
      <c r="V10" s="134" t="e">
        <f t="shared" si="0"/>
        <v>#DIV/0!</v>
      </c>
      <c r="W10" s="134" t="e">
        <f t="shared" si="0"/>
        <v>#DIV/0!</v>
      </c>
      <c r="X10" s="134" t="e">
        <f t="shared" si="0"/>
        <v>#DIV/0!</v>
      </c>
      <c r="Y10" s="134" t="e">
        <f t="shared" si="0"/>
        <v>#DIV/0!</v>
      </c>
      <c r="Z10" s="134" t="e">
        <f t="shared" si="0"/>
        <v>#DIV/0!</v>
      </c>
      <c r="AA10" s="134" t="e">
        <f t="shared" si="0"/>
        <v>#DIV/0!</v>
      </c>
      <c r="AB10" s="134" t="e">
        <f t="shared" si="0"/>
        <v>#DIV/0!</v>
      </c>
      <c r="AC10" s="134" t="e">
        <f t="shared" si="0"/>
        <v>#DIV/0!</v>
      </c>
      <c r="AD10" s="134">
        <f t="shared" si="0"/>
        <v>6.5656565656565705E-2</v>
      </c>
    </row>
    <row r="11" spans="2:31" ht="30" customHeight="1">
      <c r="B11" s="89" t="s">
        <v>206</v>
      </c>
      <c r="C11" s="126"/>
      <c r="D11" s="91">
        <v>34</v>
      </c>
      <c r="E11" s="91">
        <v>0</v>
      </c>
      <c r="F11" s="91">
        <v>0</v>
      </c>
      <c r="G11" s="91">
        <v>0</v>
      </c>
      <c r="H11" s="91">
        <v>0</v>
      </c>
      <c r="I11" s="91">
        <v>0</v>
      </c>
      <c r="J11" s="91">
        <v>0</v>
      </c>
      <c r="K11" s="91">
        <v>0</v>
      </c>
      <c r="L11" s="91">
        <v>0</v>
      </c>
      <c r="M11" s="91">
        <v>0</v>
      </c>
      <c r="N11" s="91">
        <v>0</v>
      </c>
      <c r="O11" s="91">
        <v>0</v>
      </c>
      <c r="P11" s="130">
        <f>SUM(CostofSales[[#This Row],[1 月]:[12 月]])</f>
        <v>34</v>
      </c>
      <c r="Q11" s="107">
        <v>0.2</v>
      </c>
      <c r="R11" s="134">
        <f t="shared" si="0"/>
        <v>0.17171717171717199</v>
      </c>
      <c r="S11" s="134" t="e">
        <f t="shared" si="0"/>
        <v>#DIV/0!</v>
      </c>
      <c r="T11" s="134" t="e">
        <f t="shared" si="0"/>
        <v>#DIV/0!</v>
      </c>
      <c r="U11" s="134" t="e">
        <f t="shared" si="0"/>
        <v>#DIV/0!</v>
      </c>
      <c r="V11" s="134" t="e">
        <f t="shared" si="0"/>
        <v>#DIV/0!</v>
      </c>
      <c r="W11" s="134" t="e">
        <f t="shared" si="0"/>
        <v>#DIV/0!</v>
      </c>
      <c r="X11" s="134" t="e">
        <f t="shared" si="0"/>
        <v>#DIV/0!</v>
      </c>
      <c r="Y11" s="134" t="e">
        <f t="shared" si="0"/>
        <v>#DIV/0!</v>
      </c>
      <c r="Z11" s="134" t="e">
        <f t="shared" si="0"/>
        <v>#DIV/0!</v>
      </c>
      <c r="AA11" s="134" t="e">
        <f t="shared" si="0"/>
        <v>#DIV/0!</v>
      </c>
      <c r="AB11" s="134" t="e">
        <f t="shared" si="0"/>
        <v>#DIV/0!</v>
      </c>
      <c r="AC11" s="134" t="e">
        <f t="shared" si="0"/>
        <v>#DIV/0!</v>
      </c>
      <c r="AD11" s="134">
        <f t="shared" si="0"/>
        <v>0.17171717171717199</v>
      </c>
    </row>
    <row r="12" spans="2:31" ht="30" customHeight="1">
      <c r="B12" s="89" t="s">
        <v>148</v>
      </c>
      <c r="C12" s="126"/>
      <c r="D12" s="91">
        <v>33</v>
      </c>
      <c r="E12" s="91">
        <v>0</v>
      </c>
      <c r="F12" s="91">
        <v>0</v>
      </c>
      <c r="G12" s="91">
        <v>0</v>
      </c>
      <c r="H12" s="91">
        <v>0</v>
      </c>
      <c r="I12" s="91">
        <v>0</v>
      </c>
      <c r="J12" s="91">
        <v>0</v>
      </c>
      <c r="K12" s="91">
        <v>0</v>
      </c>
      <c r="L12" s="91">
        <v>0</v>
      </c>
      <c r="M12" s="91">
        <v>0</v>
      </c>
      <c r="N12" s="91">
        <v>0</v>
      </c>
      <c r="O12" s="91">
        <v>0</v>
      </c>
      <c r="P12" s="130">
        <f>SUM(CostofSales[[#This Row],[1 月]:[12 月]])</f>
        <v>33</v>
      </c>
      <c r="Q12" s="107">
        <v>0.1</v>
      </c>
      <c r="R12" s="134">
        <f t="shared" si="0"/>
        <v>0.16666666666666699</v>
      </c>
      <c r="S12" s="134" t="e">
        <f t="shared" si="0"/>
        <v>#DIV/0!</v>
      </c>
      <c r="T12" s="134" t="e">
        <f t="shared" si="0"/>
        <v>#DIV/0!</v>
      </c>
      <c r="U12" s="134" t="e">
        <f t="shared" si="0"/>
        <v>#DIV/0!</v>
      </c>
      <c r="V12" s="134" t="e">
        <f t="shared" si="0"/>
        <v>#DIV/0!</v>
      </c>
      <c r="W12" s="134" t="e">
        <f t="shared" si="0"/>
        <v>#DIV/0!</v>
      </c>
      <c r="X12" s="134" t="e">
        <f t="shared" si="0"/>
        <v>#DIV/0!</v>
      </c>
      <c r="Y12" s="134" t="e">
        <f t="shared" si="0"/>
        <v>#DIV/0!</v>
      </c>
      <c r="Z12" s="134" t="e">
        <f t="shared" si="0"/>
        <v>#DIV/0!</v>
      </c>
      <c r="AA12" s="134" t="e">
        <f t="shared" si="0"/>
        <v>#DIV/0!</v>
      </c>
      <c r="AB12" s="134" t="e">
        <f t="shared" si="0"/>
        <v>#DIV/0!</v>
      </c>
      <c r="AC12" s="134" t="e">
        <f t="shared" si="0"/>
        <v>#DIV/0!</v>
      </c>
      <c r="AD12" s="134">
        <f t="shared" si="0"/>
        <v>0.16666666666666699</v>
      </c>
    </row>
    <row r="13" spans="2:31" ht="30" customHeight="1">
      <c r="B13" s="89" t="s">
        <v>140</v>
      </c>
      <c r="C13" s="127"/>
      <c r="D13" s="91">
        <v>18</v>
      </c>
      <c r="E13" s="91">
        <v>0</v>
      </c>
      <c r="F13" s="91">
        <v>0</v>
      </c>
      <c r="G13" s="91">
        <v>0</v>
      </c>
      <c r="H13" s="91">
        <v>0</v>
      </c>
      <c r="I13" s="91">
        <v>0</v>
      </c>
      <c r="J13" s="91">
        <v>0</v>
      </c>
      <c r="K13" s="91">
        <v>0</v>
      </c>
      <c r="L13" s="91">
        <v>0</v>
      </c>
      <c r="M13" s="91">
        <v>0</v>
      </c>
      <c r="N13" s="91">
        <v>0</v>
      </c>
      <c r="O13" s="91">
        <v>0</v>
      </c>
      <c r="P13" s="131">
        <f>SUM(CostofSales[[#This Row],[1 月]:[12 月]])</f>
        <v>18</v>
      </c>
      <c r="Q13" s="107">
        <v>0.1</v>
      </c>
      <c r="R13" s="135">
        <f t="shared" si="0"/>
        <v>9.0909090909090898E-2</v>
      </c>
      <c r="S13" s="135" t="e">
        <f t="shared" si="0"/>
        <v>#DIV/0!</v>
      </c>
      <c r="T13" s="135" t="e">
        <f t="shared" si="0"/>
        <v>#DIV/0!</v>
      </c>
      <c r="U13" s="135" t="e">
        <f t="shared" si="0"/>
        <v>#DIV/0!</v>
      </c>
      <c r="V13" s="135" t="e">
        <f t="shared" si="0"/>
        <v>#DIV/0!</v>
      </c>
      <c r="W13" s="135" t="e">
        <f t="shared" si="0"/>
        <v>#DIV/0!</v>
      </c>
      <c r="X13" s="135" t="e">
        <f t="shared" si="0"/>
        <v>#DIV/0!</v>
      </c>
      <c r="Y13" s="135" t="e">
        <f t="shared" si="0"/>
        <v>#DIV/0!</v>
      </c>
      <c r="Z13" s="135" t="e">
        <f t="shared" si="0"/>
        <v>#DIV/0!</v>
      </c>
      <c r="AA13" s="135" t="e">
        <f t="shared" si="0"/>
        <v>#DIV/0!</v>
      </c>
      <c r="AB13" s="135" t="e">
        <f t="shared" si="0"/>
        <v>#DIV/0!</v>
      </c>
      <c r="AC13" s="135" t="e">
        <f t="shared" si="0"/>
        <v>#DIV/0!</v>
      </c>
      <c r="AD13" s="135">
        <f t="shared" si="0"/>
        <v>9.0909090909090898E-2</v>
      </c>
    </row>
    <row r="14" spans="2:31" ht="30" customHeight="1">
      <c r="B14" s="93" t="s">
        <v>207</v>
      </c>
      <c r="C14" s="128"/>
      <c r="D14" s="94">
        <f t="shared" ref="D14:O14" si="1">SUM(D7:D10,D13)</f>
        <v>198</v>
      </c>
      <c r="E14" s="94">
        <f t="shared" si="1"/>
        <v>0</v>
      </c>
      <c r="F14" s="94">
        <f t="shared" si="1"/>
        <v>0</v>
      </c>
      <c r="G14" s="94">
        <f t="shared" si="1"/>
        <v>0</v>
      </c>
      <c r="H14" s="94">
        <f t="shared" si="1"/>
        <v>0</v>
      </c>
      <c r="I14" s="94">
        <f t="shared" si="1"/>
        <v>0</v>
      </c>
      <c r="J14" s="94">
        <f t="shared" si="1"/>
        <v>0</v>
      </c>
      <c r="K14" s="94">
        <f t="shared" si="1"/>
        <v>0</v>
      </c>
      <c r="L14" s="94">
        <f t="shared" si="1"/>
        <v>0</v>
      </c>
      <c r="M14" s="94">
        <f t="shared" si="1"/>
        <v>0</v>
      </c>
      <c r="N14" s="94">
        <f t="shared" si="1"/>
        <v>0</v>
      </c>
      <c r="O14" s="94">
        <f t="shared" si="1"/>
        <v>0</v>
      </c>
      <c r="P14" s="132">
        <f>SUM(CostofSales[[#This Row],[1 月]:[12 月]])</f>
        <v>198</v>
      </c>
      <c r="Q14" s="110">
        <f>SUM(Q7:Q13)</f>
        <v>1</v>
      </c>
      <c r="R14" s="136">
        <f t="shared" si="0"/>
        <v>1</v>
      </c>
      <c r="S14" s="136" t="e">
        <f t="shared" si="0"/>
        <v>#DIV/0!</v>
      </c>
      <c r="T14" s="136" t="e">
        <f t="shared" si="0"/>
        <v>#DIV/0!</v>
      </c>
      <c r="U14" s="136" t="e">
        <f t="shared" si="0"/>
        <v>#DIV/0!</v>
      </c>
      <c r="V14" s="136" t="e">
        <f t="shared" si="0"/>
        <v>#DIV/0!</v>
      </c>
      <c r="W14" s="136" t="e">
        <f t="shared" si="0"/>
        <v>#DIV/0!</v>
      </c>
      <c r="X14" s="136" t="e">
        <f t="shared" si="0"/>
        <v>#DIV/0!</v>
      </c>
      <c r="Y14" s="136" t="e">
        <f t="shared" si="0"/>
        <v>#DIV/0!</v>
      </c>
      <c r="Z14" s="136" t="e">
        <f t="shared" si="0"/>
        <v>#DIV/0!</v>
      </c>
      <c r="AA14" s="136" t="e">
        <f t="shared" si="0"/>
        <v>#DIV/0!</v>
      </c>
      <c r="AB14" s="136" t="e">
        <f t="shared" si="0"/>
        <v>#DIV/0!</v>
      </c>
      <c r="AC14" s="136" t="e">
        <f t="shared" si="0"/>
        <v>#DIV/0!</v>
      </c>
      <c r="AD14" s="136">
        <f t="shared" si="0"/>
        <v>1</v>
      </c>
    </row>
    <row r="15" spans="2:31" ht="30" customHeight="1">
      <c r="B15" s="87" t="s">
        <v>208</v>
      </c>
      <c r="C15" s="87"/>
      <c r="D15" s="96">
        <f>收入!D14-D14</f>
        <v>533</v>
      </c>
      <c r="E15" s="96">
        <f>收入!E14-E14</f>
        <v>0</v>
      </c>
      <c r="F15" s="96">
        <f>收入!F14-F14</f>
        <v>0</v>
      </c>
      <c r="G15" s="96">
        <f>收入!G14-G14</f>
        <v>0</v>
      </c>
      <c r="H15" s="96">
        <f>收入!H14-H14</f>
        <v>0</v>
      </c>
      <c r="I15" s="96">
        <f>收入!I14-I14</f>
        <v>0</v>
      </c>
      <c r="J15" s="96">
        <f>收入!J14-J14</f>
        <v>0</v>
      </c>
      <c r="K15" s="96">
        <f>收入!K14-K14</f>
        <v>0</v>
      </c>
      <c r="L15" s="96">
        <f>收入!L14-L14</f>
        <v>0</v>
      </c>
      <c r="M15" s="96">
        <f>收入!M14-M14</f>
        <v>0</v>
      </c>
      <c r="N15" s="96">
        <f>收入!N14-N14</f>
        <v>0</v>
      </c>
      <c r="O15" s="96">
        <f>收入!O14-O14</f>
        <v>0</v>
      </c>
      <c r="P15" s="96">
        <f>收入!P14-P14</f>
        <v>533</v>
      </c>
      <c r="Q15" s="112"/>
      <c r="R15" s="112"/>
      <c r="S15" s="112"/>
      <c r="T15" s="112"/>
      <c r="U15" s="112"/>
      <c r="V15" s="112"/>
      <c r="W15" s="112"/>
      <c r="X15" s="112"/>
      <c r="Y15" s="112"/>
      <c r="Z15" s="112"/>
      <c r="AA15" s="112"/>
      <c r="AB15" s="112"/>
      <c r="AC15" s="112"/>
      <c r="AD15" s="112"/>
    </row>
    <row r="17" spans="16:16" ht="30" customHeight="1">
      <c r="P17" s="102"/>
    </row>
  </sheetData>
  <phoneticPr fontId="105" type="noConversion"/>
  <dataValidations count="9">
    <dataValidation allowBlank="1" showInputMessage="1" showErrorMessage="1" prompt="此工作表计算各项目的每月和每年销售总成本以及年度销售成本。将根据各条目自动计算毛利润。" sqref="A1" xr:uid="{00000000-0002-0000-0500-000000000000}"/>
    <dataValidation allowBlank="1" showInputMessage="1" showErrorMessage="1" prompt="公司名称将根据“收入（销售额）”工作表中的条目自动更新" sqref="B2" xr:uid="{00000000-0002-0000-0500-000001000000}"/>
    <dataValidation allowBlank="1" showInputMessage="1" showErrorMessage="1" prompt="根据“收入（销售额）”工作表自动更新的标题。在下面的“支出”表中输入值，以便计算总支出" sqref="B4" xr:uid="{00000000-0002-0000-0500-000002000000}"/>
    <dataValidation allowBlank="1" showInputMessage="1" showErrorMessage="1" prompt="在此列中输入支出" sqref="B6" xr:uid="{00000000-0002-0000-0500-000003000000}"/>
    <dataValidation allowBlank="1" showInputMessage="1" showErrorMessage="1" prompt="此列是随时间推移的支出趋势图" sqref="C6" xr:uid="{00000000-0002-0000-0500-000004000000}"/>
    <dataValidation allowBlank="1" showInputMessage="1" showErrorMessage="1" prompt="“年度支出”在此列中自动计算" sqref="P6" xr:uid="{00000000-0002-0000-0500-000005000000}"/>
    <dataValidation allowBlank="1" showInputMessage="1" showErrorMessage="1" prompt="指数率位于此列中" sqref="Q6" xr:uid="{00000000-0002-0000-0500-000006000000}"/>
    <dataValidation allowBlank="1" showInputMessage="1" showErrorMessage="1" prompt="针对此单元格中的月份，在此列中自动计算不同源的支出占该月总支出的比例" sqref="R6:AC6" xr:uid="{00000000-0002-0000-0500-000007000000}"/>
    <dataValidation allowBlank="1" showInputMessage="1" showErrorMessage="1" prompt="在此列中自动计算不同源的支出占该年总支出的比例" sqref="AD6" xr:uid="{00000000-0002-0000-0500-000008000000}"/>
  </dataValidations>
  <printOptions horizontalCentered="1"/>
  <pageMargins left="0.25" right="0.25" top="0.75" bottom="0.75" header="0.3" footer="0.3"/>
  <pageSetup paperSize="9" scale="37" fitToHeight="0" orientation="landscape"/>
  <headerFooter differentFirst="1"/>
  <tableParts count="1">
    <tablePart r:id="rId1"/>
  </tableParts>
  <extLst>
    <ext xmlns:x14="http://schemas.microsoft.com/office/spreadsheetml/2009/9/main" uri="{05C60535-1F16-4fd2-B633-F4F36F0B64E0}">
      <x14:sparklineGroups xmlns:xm="http://schemas.microsoft.com/office/excel/2006/main">
        <x14:sparklineGroup lineWeight="1" displayEmptyCellsAs="gap" high="1" low="1" xr2:uid="{00000000-0003-0000-0500-000006000000}">
          <x14:colorSeries theme="3"/>
          <x14:colorNegative theme="5"/>
          <x14:colorAxis rgb="FF000000"/>
          <x14:colorMarkers theme="4" tint="-0.499984740745262"/>
          <x14:colorFirst theme="4" tint="0.39994506668294322"/>
          <x14:colorLast theme="4" tint="0.39994506668294322"/>
          <x14:colorHigh theme="3"/>
          <x14:colorLow theme="3"/>
          <x14:sparklines>
            <x14:sparkline>
              <xm:f>成本!D7:O7</xm:f>
              <xm:sqref>C7</xm:sqref>
            </x14:sparkline>
            <x14:sparkline>
              <xm:f>成本!D8:O8</xm:f>
              <xm:sqref>C8</xm:sqref>
            </x14:sparkline>
            <x14:sparkline>
              <xm:f>成本!D9:O9</xm:f>
              <xm:sqref>C9</xm:sqref>
            </x14:sparkline>
            <x14:sparkline>
              <xm:f>成本!D10:O10</xm:f>
              <xm:sqref>C10</xm:sqref>
            </x14:sparkline>
            <x14:sparkline>
              <xm:f>成本!D11:O11</xm:f>
              <xm:sqref>C11</xm:sqref>
            </x14:sparkline>
            <x14:sparkline>
              <xm:f>成本!D12:O12</xm:f>
              <xm:sqref>C12</xm:sqref>
            </x14:sparkline>
            <x14:sparkline>
              <xm:f>成本!D13:O13</xm:f>
              <xm:sqref>C13</xm:sqref>
            </x14:sparkline>
            <x14:sparkline>
              <xm:f>成本!D14:O14</xm:f>
              <xm:sqref>C14</xm:sqref>
            </x14:sparkline>
          </x14:sparklines>
        </x14:sparklineGroup>
      </x14:sparklineGroup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B1:AE32"/>
  <sheetViews>
    <sheetView showGridLines="0" topLeftCell="A4" workbookViewId="0">
      <selection activeCell="E5" sqref="E5"/>
    </sheetView>
  </sheetViews>
  <sheetFormatPr baseColWidth="10" defaultColWidth="10" defaultRowHeight="30" customHeight="1"/>
  <cols>
    <col min="1" max="1" width="5.6640625" style="78" customWidth="1"/>
    <col min="2" max="3" width="35.6640625" style="78" customWidth="1"/>
    <col min="4" max="30" width="10.6640625" style="78" customWidth="1"/>
    <col min="31" max="31" width="5.6640625" style="78" customWidth="1"/>
    <col min="32" max="16384" width="10" style="78"/>
  </cols>
  <sheetData>
    <row r="1" spans="2:31" ht="25" customHeight="1">
      <c r="B1" s="79"/>
      <c r="C1" s="79"/>
      <c r="AE1" s="78" t="s">
        <v>42</v>
      </c>
    </row>
    <row r="2" spans="2:31" s="76" customFormat="1" ht="60" customHeight="1">
      <c r="B2" s="80" t="str">
        <f>Company_Name</f>
        <v>化妆工作室</v>
      </c>
      <c r="C2" s="80"/>
      <c r="Q2" s="103"/>
      <c r="R2" s="103"/>
      <c r="S2" s="103"/>
      <c r="T2" s="103"/>
      <c r="U2" s="103"/>
      <c r="V2" s="103"/>
      <c r="W2" s="103"/>
      <c r="X2" s="103"/>
      <c r="Y2" s="103"/>
      <c r="Z2" s="103"/>
      <c r="AA2" s="113"/>
      <c r="AB2" s="114"/>
      <c r="AC2" s="113"/>
    </row>
    <row r="3" spans="2:31" ht="10" customHeight="1">
      <c r="B3" s="81"/>
      <c r="C3" s="82"/>
      <c r="J3" s="97"/>
      <c r="Q3" s="104"/>
      <c r="R3" s="104"/>
      <c r="S3" s="104"/>
      <c r="T3" s="104"/>
      <c r="U3" s="104"/>
      <c r="V3" s="104"/>
      <c r="W3" s="104"/>
      <c r="X3" s="104"/>
      <c r="Y3" s="104"/>
      <c r="Z3" s="104"/>
      <c r="AA3" s="115"/>
      <c r="AB3" s="116"/>
      <c r="AC3" s="115"/>
      <c r="AD3" s="117"/>
    </row>
    <row r="4" spans="2:31" ht="50" customHeight="1">
      <c r="B4" s="83" t="str">
        <f>Wksht_Title</f>
        <v>损益预测</v>
      </c>
      <c r="C4" s="83"/>
      <c r="D4" s="84"/>
      <c r="E4" s="85"/>
      <c r="F4" s="84"/>
      <c r="G4" s="85"/>
      <c r="H4" s="84"/>
      <c r="I4" s="84"/>
      <c r="J4" s="84"/>
      <c r="K4" s="85"/>
      <c r="L4" s="85"/>
      <c r="M4" s="85"/>
      <c r="N4" s="85"/>
      <c r="O4" s="85"/>
      <c r="P4" s="84"/>
      <c r="Q4" s="84"/>
      <c r="R4" s="84"/>
      <c r="S4" s="84"/>
      <c r="T4" s="84"/>
      <c r="U4" s="84"/>
      <c r="V4" s="84"/>
      <c r="W4" s="84"/>
      <c r="X4" s="105"/>
      <c r="Y4" s="105"/>
      <c r="Z4" s="105"/>
      <c r="AA4" s="118"/>
      <c r="AB4" s="84"/>
      <c r="AC4" s="84"/>
      <c r="AD4" s="84"/>
    </row>
    <row r="5" spans="2:31" ht="25" customHeight="1">
      <c r="E5" s="86"/>
      <c r="G5" s="86"/>
      <c r="K5" s="86"/>
      <c r="L5" s="86"/>
      <c r="M5" s="86"/>
      <c r="N5" s="86"/>
      <c r="O5" s="86"/>
      <c r="X5" s="106"/>
      <c r="Y5" s="106"/>
      <c r="Z5" s="106"/>
      <c r="AA5" s="106"/>
      <c r="AB5" s="119"/>
      <c r="AC5" s="119"/>
      <c r="AD5" s="119"/>
    </row>
    <row r="6" spans="2:31" s="77" customFormat="1" ht="30" customHeight="1">
      <c r="B6" s="87" t="s">
        <v>209</v>
      </c>
      <c r="C6" s="87" t="s">
        <v>167</v>
      </c>
      <c r="D6" s="88" t="s">
        <v>168</v>
      </c>
      <c r="E6" s="88" t="s">
        <v>169</v>
      </c>
      <c r="F6" s="88" t="s">
        <v>170</v>
      </c>
      <c r="G6" s="88" t="s">
        <v>171</v>
      </c>
      <c r="H6" s="88" t="s">
        <v>172</v>
      </c>
      <c r="I6" s="88" t="s">
        <v>173</v>
      </c>
      <c r="J6" s="88" t="s">
        <v>174</v>
      </c>
      <c r="K6" s="88" t="s">
        <v>175</v>
      </c>
      <c r="L6" s="88" t="s">
        <v>176</v>
      </c>
      <c r="M6" s="88" t="s">
        <v>177</v>
      </c>
      <c r="N6" s="88" t="s">
        <v>178</v>
      </c>
      <c r="O6" s="88" t="s">
        <v>179</v>
      </c>
      <c r="P6" s="88" t="s">
        <v>180</v>
      </c>
      <c r="Q6" s="88" t="s">
        <v>203</v>
      </c>
      <c r="R6" s="88" t="s">
        <v>182</v>
      </c>
      <c r="S6" s="88" t="s">
        <v>183</v>
      </c>
      <c r="T6" s="88" t="s">
        <v>184</v>
      </c>
      <c r="U6" s="88" t="s">
        <v>185</v>
      </c>
      <c r="V6" s="88" t="s">
        <v>186</v>
      </c>
      <c r="W6" s="88" t="s">
        <v>187</v>
      </c>
      <c r="X6" s="88" t="s">
        <v>188</v>
      </c>
      <c r="Y6" s="88" t="s">
        <v>189</v>
      </c>
      <c r="Z6" s="88" t="s">
        <v>190</v>
      </c>
      <c r="AA6" s="88" t="s">
        <v>191</v>
      </c>
      <c r="AB6" s="88" t="s">
        <v>192</v>
      </c>
      <c r="AC6" s="88" t="s">
        <v>193</v>
      </c>
      <c r="AD6" s="88" t="s">
        <v>194</v>
      </c>
    </row>
    <row r="7" spans="2:31" s="77" customFormat="1" ht="30" customHeight="1">
      <c r="B7" s="89" t="s">
        <v>210</v>
      </c>
      <c r="C7" s="90" t="s">
        <v>42</v>
      </c>
      <c r="D7" s="91">
        <v>10</v>
      </c>
      <c r="E7" s="91">
        <v>18</v>
      </c>
      <c r="F7" s="91">
        <v>13</v>
      </c>
      <c r="G7" s="91">
        <v>8</v>
      </c>
      <c r="H7" s="91">
        <v>22</v>
      </c>
      <c r="I7" s="91">
        <v>18</v>
      </c>
      <c r="J7" s="91">
        <v>8</v>
      </c>
      <c r="K7" s="91">
        <v>17</v>
      </c>
      <c r="L7" s="91">
        <v>20</v>
      </c>
      <c r="M7" s="91">
        <v>8</v>
      </c>
      <c r="N7" s="91">
        <v>4</v>
      </c>
      <c r="O7" s="91">
        <v>12</v>
      </c>
      <c r="P7" s="98">
        <f>SUM(tblExpenses[[#This Row],[1 月]:[12 月]])</f>
        <v>158</v>
      </c>
      <c r="Q7" s="107">
        <v>0.12</v>
      </c>
      <c r="R7" s="108">
        <f t="shared" ref="R7:R26" si="0">D7/D$26</f>
        <v>4.2372881355932202E-2</v>
      </c>
      <c r="S7" s="108">
        <f t="shared" ref="S7:S26" si="1">E7/E$26</f>
        <v>8.7804878048780496E-2</v>
      </c>
      <c r="T7" s="108">
        <f t="shared" ref="T7:T26" si="2">F7/F$26</f>
        <v>5.22088353413655E-2</v>
      </c>
      <c r="U7" s="108">
        <f t="shared" ref="U7:U26" si="3">G7/G$26</f>
        <v>3.0651340996168602E-2</v>
      </c>
      <c r="V7" s="108">
        <f t="shared" ref="V7:V26" si="4">H7/H$26</f>
        <v>8.56031128404669E-2</v>
      </c>
      <c r="W7" s="108">
        <f t="shared" ref="W7:W26" si="5">I7/I$26</f>
        <v>6.5693430656934296E-2</v>
      </c>
      <c r="X7" s="108">
        <f t="shared" ref="X7:X26" si="6">J7/J$26</f>
        <v>3.00751879699248E-2</v>
      </c>
      <c r="Y7" s="108">
        <f t="shared" ref="Y7:Y26" si="7">K7/K$26</f>
        <v>7.2340425531914901E-2</v>
      </c>
      <c r="Z7" s="108">
        <f t="shared" ref="Z7:Z26" si="8">L7/L$26</f>
        <v>8.6956521739130405E-2</v>
      </c>
      <c r="AA7" s="108">
        <f t="shared" ref="AA7:AA26" si="9">M7/M$26</f>
        <v>3.0888030888030899E-2</v>
      </c>
      <c r="AB7" s="108">
        <f t="shared" ref="AB7:AB26" si="10">N7/N$26</f>
        <v>1.35135135135135E-2</v>
      </c>
      <c r="AC7" s="108">
        <f t="shared" ref="AC7:AC26" si="11">O7/O$26</f>
        <v>5.1948051948052E-2</v>
      </c>
      <c r="AD7" s="120">
        <f t="shared" ref="AD7:AD26" si="12">P7/P$26</f>
        <v>5.2684228076025297E-2</v>
      </c>
    </row>
    <row r="8" spans="2:31" s="77" customFormat="1" ht="30" customHeight="1">
      <c r="B8" s="89" t="s">
        <v>211</v>
      </c>
      <c r="C8" s="92" t="s">
        <v>42</v>
      </c>
      <c r="D8" s="91">
        <v>23</v>
      </c>
      <c r="E8" s="91">
        <v>11</v>
      </c>
      <c r="F8" s="91">
        <v>7</v>
      </c>
      <c r="G8" s="91">
        <v>14</v>
      </c>
      <c r="H8" s="91">
        <v>12</v>
      </c>
      <c r="I8" s="91">
        <v>19</v>
      </c>
      <c r="J8" s="91">
        <v>19</v>
      </c>
      <c r="K8" s="91">
        <v>4</v>
      </c>
      <c r="L8" s="91">
        <v>7</v>
      </c>
      <c r="M8" s="91">
        <v>13</v>
      </c>
      <c r="N8" s="91">
        <v>25</v>
      </c>
      <c r="O8" s="91">
        <v>5</v>
      </c>
      <c r="P8" s="99">
        <f>SUM(tblExpenses[[#This Row],[1 月]:[12 月]])</f>
        <v>159</v>
      </c>
      <c r="Q8" s="107">
        <v>0.09</v>
      </c>
      <c r="R8" s="109">
        <f t="shared" si="0"/>
        <v>9.74576271186441E-2</v>
      </c>
      <c r="S8" s="109">
        <f t="shared" si="1"/>
        <v>5.3658536585365901E-2</v>
      </c>
      <c r="T8" s="109">
        <f t="shared" si="2"/>
        <v>2.81124497991968E-2</v>
      </c>
      <c r="U8" s="109">
        <f t="shared" si="3"/>
        <v>5.3639846743295E-2</v>
      </c>
      <c r="V8" s="109">
        <f t="shared" si="4"/>
        <v>4.66926070038911E-2</v>
      </c>
      <c r="W8" s="109">
        <f t="shared" si="5"/>
        <v>6.9343065693430697E-2</v>
      </c>
      <c r="X8" s="109">
        <f t="shared" si="6"/>
        <v>7.1428571428571397E-2</v>
      </c>
      <c r="Y8" s="109">
        <f t="shared" si="7"/>
        <v>1.7021276595744698E-2</v>
      </c>
      <c r="Z8" s="109">
        <f t="shared" si="8"/>
        <v>3.0434782608695699E-2</v>
      </c>
      <c r="AA8" s="109">
        <f t="shared" si="9"/>
        <v>5.0193050193050197E-2</v>
      </c>
      <c r="AB8" s="109">
        <f t="shared" si="10"/>
        <v>8.4459459459459499E-2</v>
      </c>
      <c r="AC8" s="109">
        <f t="shared" si="11"/>
        <v>2.1645021645021599E-2</v>
      </c>
      <c r="AD8" s="111">
        <f t="shared" si="12"/>
        <v>5.3017672557519199E-2</v>
      </c>
    </row>
    <row r="9" spans="2:31" s="77" customFormat="1" ht="30" customHeight="1">
      <c r="B9" s="89" t="s">
        <v>212</v>
      </c>
      <c r="C9" s="92" t="s">
        <v>42</v>
      </c>
      <c r="D9" s="91">
        <v>23</v>
      </c>
      <c r="E9" s="91">
        <v>20</v>
      </c>
      <c r="F9" s="91">
        <v>3</v>
      </c>
      <c r="G9" s="91">
        <v>16</v>
      </c>
      <c r="H9" s="91">
        <v>10</v>
      </c>
      <c r="I9" s="91">
        <v>5</v>
      </c>
      <c r="J9" s="91">
        <v>20</v>
      </c>
      <c r="K9" s="91">
        <v>7</v>
      </c>
      <c r="L9" s="91">
        <v>4</v>
      </c>
      <c r="M9" s="91">
        <v>22</v>
      </c>
      <c r="N9" s="91">
        <v>13</v>
      </c>
      <c r="O9" s="91">
        <v>14</v>
      </c>
      <c r="P9" s="99">
        <f>SUM(tblExpenses[[#This Row],[1 月]:[12 月]])</f>
        <v>157</v>
      </c>
      <c r="Q9" s="107">
        <v>0.02</v>
      </c>
      <c r="R9" s="109">
        <f t="shared" si="0"/>
        <v>9.74576271186441E-2</v>
      </c>
      <c r="S9" s="109">
        <f t="shared" si="1"/>
        <v>9.7560975609756101E-2</v>
      </c>
      <c r="T9" s="109">
        <f t="shared" si="2"/>
        <v>1.20481927710843E-2</v>
      </c>
      <c r="U9" s="109">
        <f t="shared" si="3"/>
        <v>6.1302681992337203E-2</v>
      </c>
      <c r="V9" s="109">
        <f t="shared" si="4"/>
        <v>3.8910505836575897E-2</v>
      </c>
      <c r="W9" s="109">
        <f t="shared" si="5"/>
        <v>1.8248175182481799E-2</v>
      </c>
      <c r="X9" s="109">
        <f t="shared" si="6"/>
        <v>7.5187969924811998E-2</v>
      </c>
      <c r="Y9" s="109">
        <f t="shared" si="7"/>
        <v>2.97872340425532E-2</v>
      </c>
      <c r="Z9" s="109">
        <f t="shared" si="8"/>
        <v>1.7391304347826101E-2</v>
      </c>
      <c r="AA9" s="109">
        <f t="shared" si="9"/>
        <v>8.4942084942084897E-2</v>
      </c>
      <c r="AB9" s="109">
        <f t="shared" si="10"/>
        <v>4.3918918918918901E-2</v>
      </c>
      <c r="AC9" s="109">
        <f t="shared" si="11"/>
        <v>6.0606060606060601E-2</v>
      </c>
      <c r="AD9" s="111">
        <f t="shared" si="12"/>
        <v>5.2350783594531498E-2</v>
      </c>
    </row>
    <row r="10" spans="2:31" s="77" customFormat="1" ht="30" customHeight="1">
      <c r="B10" s="89" t="s">
        <v>213</v>
      </c>
      <c r="C10" s="92" t="s">
        <v>42</v>
      </c>
      <c r="D10" s="91">
        <v>19</v>
      </c>
      <c r="E10" s="91">
        <v>4</v>
      </c>
      <c r="F10" s="91">
        <v>7</v>
      </c>
      <c r="G10" s="91">
        <v>14</v>
      </c>
      <c r="H10" s="91">
        <v>22</v>
      </c>
      <c r="I10" s="91">
        <v>10</v>
      </c>
      <c r="J10" s="91">
        <v>22</v>
      </c>
      <c r="K10" s="91">
        <v>5</v>
      </c>
      <c r="L10" s="91">
        <v>4</v>
      </c>
      <c r="M10" s="91">
        <v>12</v>
      </c>
      <c r="N10" s="91">
        <v>18</v>
      </c>
      <c r="O10" s="91">
        <v>24</v>
      </c>
      <c r="P10" s="99">
        <f>SUM(tblExpenses[[#This Row],[1 月]:[12 月]])</f>
        <v>161</v>
      </c>
      <c r="Q10" s="107">
        <v>0.08</v>
      </c>
      <c r="R10" s="109">
        <f t="shared" si="0"/>
        <v>8.0508474576271194E-2</v>
      </c>
      <c r="S10" s="109">
        <f t="shared" si="1"/>
        <v>1.9512195121951199E-2</v>
      </c>
      <c r="T10" s="109">
        <f t="shared" si="2"/>
        <v>2.81124497991968E-2</v>
      </c>
      <c r="U10" s="109">
        <f t="shared" si="3"/>
        <v>5.3639846743295E-2</v>
      </c>
      <c r="V10" s="109">
        <f t="shared" si="4"/>
        <v>8.56031128404669E-2</v>
      </c>
      <c r="W10" s="109">
        <f t="shared" si="5"/>
        <v>3.6496350364963501E-2</v>
      </c>
      <c r="X10" s="109">
        <f t="shared" si="6"/>
        <v>8.2706766917293201E-2</v>
      </c>
      <c r="Y10" s="109">
        <f t="shared" si="7"/>
        <v>2.1276595744680899E-2</v>
      </c>
      <c r="Z10" s="109">
        <f t="shared" si="8"/>
        <v>1.7391304347826101E-2</v>
      </c>
      <c r="AA10" s="109">
        <f t="shared" si="9"/>
        <v>4.6332046332046302E-2</v>
      </c>
      <c r="AB10" s="109">
        <f t="shared" si="10"/>
        <v>6.08108108108108E-2</v>
      </c>
      <c r="AC10" s="109">
        <f t="shared" si="11"/>
        <v>0.103896103896104</v>
      </c>
      <c r="AD10" s="111">
        <f t="shared" si="12"/>
        <v>5.3684561520506803E-2</v>
      </c>
    </row>
    <row r="11" spans="2:31" s="77" customFormat="1" ht="30" customHeight="1">
      <c r="B11" s="89" t="s">
        <v>157</v>
      </c>
      <c r="C11" s="92" t="s">
        <v>42</v>
      </c>
      <c r="D11" s="91">
        <v>11</v>
      </c>
      <c r="E11" s="91">
        <v>11</v>
      </c>
      <c r="F11" s="91">
        <v>17</v>
      </c>
      <c r="G11" s="91">
        <v>12</v>
      </c>
      <c r="H11" s="91">
        <v>2</v>
      </c>
      <c r="I11" s="91">
        <v>14</v>
      </c>
      <c r="J11" s="91">
        <v>12</v>
      </c>
      <c r="K11" s="91">
        <v>10</v>
      </c>
      <c r="L11" s="91">
        <v>18</v>
      </c>
      <c r="M11" s="91">
        <v>11</v>
      </c>
      <c r="N11" s="91">
        <v>23</v>
      </c>
      <c r="O11" s="91">
        <v>11</v>
      </c>
      <c r="P11" s="99">
        <f>SUM(tblExpenses[[#This Row],[1 月]:[12 月]])</f>
        <v>152</v>
      </c>
      <c r="Q11" s="107">
        <v>0.03</v>
      </c>
      <c r="R11" s="109">
        <f t="shared" si="0"/>
        <v>4.6610169491525397E-2</v>
      </c>
      <c r="S11" s="109">
        <f t="shared" si="1"/>
        <v>5.3658536585365901E-2</v>
      </c>
      <c r="T11" s="109">
        <f t="shared" si="2"/>
        <v>6.82730923694779E-2</v>
      </c>
      <c r="U11" s="109">
        <f t="shared" si="3"/>
        <v>4.5977011494252901E-2</v>
      </c>
      <c r="V11" s="109">
        <f t="shared" si="4"/>
        <v>7.7821011673151804E-3</v>
      </c>
      <c r="W11" s="109">
        <f t="shared" si="5"/>
        <v>5.1094890510948898E-2</v>
      </c>
      <c r="X11" s="109">
        <f t="shared" si="6"/>
        <v>4.5112781954887202E-2</v>
      </c>
      <c r="Y11" s="109">
        <f t="shared" si="7"/>
        <v>4.2553191489361701E-2</v>
      </c>
      <c r="Z11" s="109">
        <f t="shared" si="8"/>
        <v>7.8260869565217397E-2</v>
      </c>
      <c r="AA11" s="109">
        <f t="shared" si="9"/>
        <v>4.2471042471042497E-2</v>
      </c>
      <c r="AB11" s="109">
        <f t="shared" si="10"/>
        <v>7.77027027027027E-2</v>
      </c>
      <c r="AC11" s="109">
        <f t="shared" si="11"/>
        <v>4.7619047619047603E-2</v>
      </c>
      <c r="AD11" s="111">
        <f t="shared" si="12"/>
        <v>5.0683561187062402E-2</v>
      </c>
    </row>
    <row r="12" spans="2:31" s="77" customFormat="1" ht="30" customHeight="1">
      <c r="B12" s="89" t="s">
        <v>214</v>
      </c>
      <c r="C12" s="92" t="s">
        <v>42</v>
      </c>
      <c r="D12" s="91">
        <v>2</v>
      </c>
      <c r="E12" s="91">
        <v>16</v>
      </c>
      <c r="F12" s="91">
        <v>6</v>
      </c>
      <c r="G12" s="91">
        <v>13</v>
      </c>
      <c r="H12" s="91">
        <v>11</v>
      </c>
      <c r="I12" s="91">
        <v>22</v>
      </c>
      <c r="J12" s="91">
        <v>21</v>
      </c>
      <c r="K12" s="91">
        <v>3</v>
      </c>
      <c r="L12" s="91">
        <v>12</v>
      </c>
      <c r="M12" s="91">
        <v>7</v>
      </c>
      <c r="N12" s="91">
        <v>17</v>
      </c>
      <c r="O12" s="91">
        <v>20</v>
      </c>
      <c r="P12" s="99">
        <f>SUM(tblExpenses[[#This Row],[1 月]:[12 月]])</f>
        <v>150</v>
      </c>
      <c r="Q12" s="107">
        <v>0.15</v>
      </c>
      <c r="R12" s="109">
        <f t="shared" si="0"/>
        <v>8.4745762711864406E-3</v>
      </c>
      <c r="S12" s="109">
        <f t="shared" si="1"/>
        <v>7.8048780487804906E-2</v>
      </c>
      <c r="T12" s="109">
        <f t="shared" si="2"/>
        <v>2.40963855421687E-2</v>
      </c>
      <c r="U12" s="109">
        <f t="shared" si="3"/>
        <v>4.9808429118773902E-2</v>
      </c>
      <c r="V12" s="109">
        <f t="shared" si="4"/>
        <v>4.2801556420233498E-2</v>
      </c>
      <c r="W12" s="109">
        <f t="shared" si="5"/>
        <v>8.0291970802919693E-2</v>
      </c>
      <c r="X12" s="109">
        <f t="shared" si="6"/>
        <v>7.8947368421052599E-2</v>
      </c>
      <c r="Y12" s="109">
        <f t="shared" si="7"/>
        <v>1.27659574468085E-2</v>
      </c>
      <c r="Z12" s="109">
        <f t="shared" si="8"/>
        <v>5.21739130434783E-2</v>
      </c>
      <c r="AA12" s="109">
        <f t="shared" si="9"/>
        <v>2.7027027027027001E-2</v>
      </c>
      <c r="AB12" s="109">
        <f t="shared" si="10"/>
        <v>5.7432432432432401E-2</v>
      </c>
      <c r="AC12" s="109">
        <f t="shared" si="11"/>
        <v>8.6580086580086604E-2</v>
      </c>
      <c r="AD12" s="111">
        <f t="shared" si="12"/>
        <v>5.0016672224074701E-2</v>
      </c>
    </row>
    <row r="13" spans="2:31" s="77" customFormat="1" ht="30" customHeight="1">
      <c r="B13" s="89" t="s">
        <v>215</v>
      </c>
      <c r="C13" s="92" t="s">
        <v>42</v>
      </c>
      <c r="D13" s="91">
        <v>8</v>
      </c>
      <c r="E13" s="91">
        <v>17</v>
      </c>
      <c r="F13" s="91">
        <v>11</v>
      </c>
      <c r="G13" s="91">
        <v>11</v>
      </c>
      <c r="H13" s="91">
        <v>21</v>
      </c>
      <c r="I13" s="91">
        <v>9</v>
      </c>
      <c r="J13" s="91">
        <v>20</v>
      </c>
      <c r="K13" s="91">
        <v>3</v>
      </c>
      <c r="L13" s="91">
        <v>14</v>
      </c>
      <c r="M13" s="91">
        <v>22</v>
      </c>
      <c r="N13" s="91">
        <v>16</v>
      </c>
      <c r="O13" s="91">
        <v>12</v>
      </c>
      <c r="P13" s="99">
        <f>SUM(tblExpenses[[#This Row],[1 月]:[12 月]])</f>
        <v>164</v>
      </c>
      <c r="Q13" s="107">
        <v>0.12</v>
      </c>
      <c r="R13" s="109">
        <f t="shared" si="0"/>
        <v>3.3898305084745797E-2</v>
      </c>
      <c r="S13" s="109">
        <f t="shared" si="1"/>
        <v>8.2926829268292701E-2</v>
      </c>
      <c r="T13" s="109">
        <f t="shared" si="2"/>
        <v>4.4176706827309203E-2</v>
      </c>
      <c r="U13" s="109">
        <f t="shared" si="3"/>
        <v>4.2145593869731802E-2</v>
      </c>
      <c r="V13" s="109">
        <f t="shared" si="4"/>
        <v>8.1712062256809298E-2</v>
      </c>
      <c r="W13" s="109">
        <f t="shared" si="5"/>
        <v>3.2846715328467203E-2</v>
      </c>
      <c r="X13" s="109">
        <f t="shared" si="6"/>
        <v>7.5187969924811998E-2</v>
      </c>
      <c r="Y13" s="109">
        <f t="shared" si="7"/>
        <v>1.27659574468085E-2</v>
      </c>
      <c r="Z13" s="109">
        <f t="shared" si="8"/>
        <v>6.08695652173913E-2</v>
      </c>
      <c r="AA13" s="109">
        <f t="shared" si="9"/>
        <v>8.4942084942084897E-2</v>
      </c>
      <c r="AB13" s="109">
        <f t="shared" si="10"/>
        <v>5.4054054054054099E-2</v>
      </c>
      <c r="AC13" s="109">
        <f t="shared" si="11"/>
        <v>5.1948051948052E-2</v>
      </c>
      <c r="AD13" s="111">
        <f t="shared" si="12"/>
        <v>5.4684894964988302E-2</v>
      </c>
    </row>
    <row r="14" spans="2:31" s="77" customFormat="1" ht="30" customHeight="1">
      <c r="B14" s="89" t="s">
        <v>216</v>
      </c>
      <c r="C14" s="92" t="s">
        <v>42</v>
      </c>
      <c r="D14" s="91">
        <v>5</v>
      </c>
      <c r="E14" s="91">
        <v>13</v>
      </c>
      <c r="F14" s="91">
        <v>6</v>
      </c>
      <c r="G14" s="91">
        <v>15</v>
      </c>
      <c r="H14" s="91">
        <v>19</v>
      </c>
      <c r="I14" s="91">
        <v>10</v>
      </c>
      <c r="J14" s="91">
        <v>12</v>
      </c>
      <c r="K14" s="91">
        <v>9</v>
      </c>
      <c r="L14" s="91">
        <v>15</v>
      </c>
      <c r="M14" s="91">
        <v>16</v>
      </c>
      <c r="N14" s="91">
        <v>4</v>
      </c>
      <c r="O14" s="91">
        <v>9</v>
      </c>
      <c r="P14" s="99">
        <f>SUM(tblExpenses[[#This Row],[1 月]:[12 月]])</f>
        <v>133</v>
      </c>
      <c r="Q14" s="107">
        <v>0.09</v>
      </c>
      <c r="R14" s="109">
        <f t="shared" si="0"/>
        <v>2.1186440677966101E-2</v>
      </c>
      <c r="S14" s="109">
        <f t="shared" si="1"/>
        <v>6.3414634146341506E-2</v>
      </c>
      <c r="T14" s="109">
        <f t="shared" si="2"/>
        <v>2.40963855421687E-2</v>
      </c>
      <c r="U14" s="109">
        <f t="shared" si="3"/>
        <v>5.7471264367816098E-2</v>
      </c>
      <c r="V14" s="109">
        <f t="shared" si="4"/>
        <v>7.3929961089494206E-2</v>
      </c>
      <c r="W14" s="109">
        <f t="shared" si="5"/>
        <v>3.6496350364963501E-2</v>
      </c>
      <c r="X14" s="109">
        <f t="shared" si="6"/>
        <v>4.5112781954887202E-2</v>
      </c>
      <c r="Y14" s="109">
        <f t="shared" si="7"/>
        <v>3.8297872340425497E-2</v>
      </c>
      <c r="Z14" s="109">
        <f t="shared" si="8"/>
        <v>6.5217391304347797E-2</v>
      </c>
      <c r="AA14" s="109">
        <f t="shared" si="9"/>
        <v>6.1776061776061798E-2</v>
      </c>
      <c r="AB14" s="109">
        <f t="shared" si="10"/>
        <v>1.35135135135135E-2</v>
      </c>
      <c r="AC14" s="109">
        <f t="shared" si="11"/>
        <v>3.8961038961039002E-2</v>
      </c>
      <c r="AD14" s="111">
        <f t="shared" si="12"/>
        <v>4.4348116038679601E-2</v>
      </c>
    </row>
    <row r="15" spans="2:31" s="77" customFormat="1" ht="30" customHeight="1">
      <c r="B15" s="89" t="s">
        <v>150</v>
      </c>
      <c r="C15" s="92" t="s">
        <v>42</v>
      </c>
      <c r="D15" s="91">
        <v>8</v>
      </c>
      <c r="E15" s="91">
        <v>4</v>
      </c>
      <c r="F15" s="91">
        <v>23</v>
      </c>
      <c r="G15" s="91">
        <v>25</v>
      </c>
      <c r="H15" s="91">
        <v>10</v>
      </c>
      <c r="I15" s="91">
        <v>24</v>
      </c>
      <c r="J15" s="91">
        <v>22</v>
      </c>
      <c r="K15" s="91">
        <v>5</v>
      </c>
      <c r="L15" s="91">
        <v>12</v>
      </c>
      <c r="M15" s="91">
        <v>24</v>
      </c>
      <c r="N15" s="91">
        <v>24</v>
      </c>
      <c r="O15" s="91">
        <v>12</v>
      </c>
      <c r="P15" s="99">
        <f>SUM(tblExpenses[[#This Row],[1 月]:[12 月]])</f>
        <v>193</v>
      </c>
      <c r="Q15" s="107">
        <v>0.01</v>
      </c>
      <c r="R15" s="109">
        <f t="shared" si="0"/>
        <v>3.3898305084745797E-2</v>
      </c>
      <c r="S15" s="109">
        <f t="shared" si="1"/>
        <v>1.9512195121951199E-2</v>
      </c>
      <c r="T15" s="109">
        <f t="shared" si="2"/>
        <v>9.2369477911646597E-2</v>
      </c>
      <c r="U15" s="109">
        <f t="shared" si="3"/>
        <v>9.5785440613026795E-2</v>
      </c>
      <c r="V15" s="109">
        <f t="shared" si="4"/>
        <v>3.8910505836575897E-2</v>
      </c>
      <c r="W15" s="109">
        <f t="shared" si="5"/>
        <v>8.7591240875912399E-2</v>
      </c>
      <c r="X15" s="109">
        <f t="shared" si="6"/>
        <v>8.2706766917293201E-2</v>
      </c>
      <c r="Y15" s="109">
        <f t="shared" si="7"/>
        <v>2.1276595744680899E-2</v>
      </c>
      <c r="Z15" s="109">
        <f t="shared" si="8"/>
        <v>5.21739130434783E-2</v>
      </c>
      <c r="AA15" s="109">
        <f t="shared" si="9"/>
        <v>9.2664092664092701E-2</v>
      </c>
      <c r="AB15" s="109">
        <f t="shared" si="10"/>
        <v>8.1081081081081099E-2</v>
      </c>
      <c r="AC15" s="109">
        <f t="shared" si="11"/>
        <v>5.1948051948052E-2</v>
      </c>
      <c r="AD15" s="111">
        <f t="shared" si="12"/>
        <v>6.43547849283094E-2</v>
      </c>
    </row>
    <row r="16" spans="2:31" s="77" customFormat="1" ht="30" customHeight="1">
      <c r="B16" s="89" t="s">
        <v>77</v>
      </c>
      <c r="C16" s="92" t="s">
        <v>42</v>
      </c>
      <c r="D16" s="91">
        <v>25</v>
      </c>
      <c r="E16" s="91">
        <v>2</v>
      </c>
      <c r="F16" s="91">
        <v>12</v>
      </c>
      <c r="G16" s="91">
        <v>25</v>
      </c>
      <c r="H16" s="91">
        <v>10</v>
      </c>
      <c r="I16" s="91">
        <v>24</v>
      </c>
      <c r="J16" s="91">
        <v>3</v>
      </c>
      <c r="K16" s="91">
        <v>20</v>
      </c>
      <c r="L16" s="91">
        <v>3</v>
      </c>
      <c r="M16" s="91">
        <v>9</v>
      </c>
      <c r="N16" s="91">
        <v>20</v>
      </c>
      <c r="O16" s="91">
        <v>18</v>
      </c>
      <c r="P16" s="99">
        <f>SUM(tblExpenses[[#This Row],[1 月]:[12 月]])</f>
        <v>171</v>
      </c>
      <c r="Q16" s="107">
        <v>0.01</v>
      </c>
      <c r="R16" s="109">
        <f t="shared" si="0"/>
        <v>0.105932203389831</v>
      </c>
      <c r="S16" s="109">
        <f t="shared" si="1"/>
        <v>9.7560975609756097E-3</v>
      </c>
      <c r="T16" s="109">
        <f t="shared" si="2"/>
        <v>4.81927710843374E-2</v>
      </c>
      <c r="U16" s="109">
        <f t="shared" si="3"/>
        <v>9.5785440613026795E-2</v>
      </c>
      <c r="V16" s="109">
        <f t="shared" si="4"/>
        <v>3.8910505836575897E-2</v>
      </c>
      <c r="W16" s="109">
        <f t="shared" si="5"/>
        <v>8.7591240875912399E-2</v>
      </c>
      <c r="X16" s="109">
        <f t="shared" si="6"/>
        <v>1.12781954887218E-2</v>
      </c>
      <c r="Y16" s="109">
        <f t="shared" si="7"/>
        <v>8.5106382978723402E-2</v>
      </c>
      <c r="Z16" s="109">
        <f t="shared" si="8"/>
        <v>1.3043478260869599E-2</v>
      </c>
      <c r="AA16" s="109">
        <f t="shared" si="9"/>
        <v>3.47490347490347E-2</v>
      </c>
      <c r="AB16" s="109">
        <f t="shared" si="10"/>
        <v>6.7567567567567599E-2</v>
      </c>
      <c r="AC16" s="109">
        <f t="shared" si="11"/>
        <v>7.7922077922077906E-2</v>
      </c>
      <c r="AD16" s="111">
        <f t="shared" si="12"/>
        <v>5.7019006335445099E-2</v>
      </c>
    </row>
    <row r="17" spans="2:30" s="77" customFormat="1" ht="30" customHeight="1">
      <c r="B17" s="89" t="s">
        <v>152</v>
      </c>
      <c r="C17" s="92" t="s">
        <v>42</v>
      </c>
      <c r="D17" s="91">
        <v>16</v>
      </c>
      <c r="E17" s="91">
        <v>19</v>
      </c>
      <c r="F17" s="91">
        <v>9</v>
      </c>
      <c r="G17" s="91">
        <v>16</v>
      </c>
      <c r="H17" s="91">
        <v>13</v>
      </c>
      <c r="I17" s="91">
        <v>2</v>
      </c>
      <c r="J17" s="91">
        <v>4</v>
      </c>
      <c r="K17" s="91">
        <v>24</v>
      </c>
      <c r="L17" s="91">
        <v>16</v>
      </c>
      <c r="M17" s="91">
        <v>22</v>
      </c>
      <c r="N17" s="91">
        <v>7</v>
      </c>
      <c r="O17" s="91">
        <v>18</v>
      </c>
      <c r="P17" s="99">
        <f>SUM(tblExpenses[[#This Row],[1 月]:[12 月]])</f>
        <v>166</v>
      </c>
      <c r="Q17" s="107">
        <v>0.01</v>
      </c>
      <c r="R17" s="109">
        <f t="shared" si="0"/>
        <v>6.7796610169491497E-2</v>
      </c>
      <c r="S17" s="109">
        <f t="shared" si="1"/>
        <v>9.2682926829268306E-2</v>
      </c>
      <c r="T17" s="109">
        <f t="shared" si="2"/>
        <v>3.6144578313252997E-2</v>
      </c>
      <c r="U17" s="109">
        <f t="shared" si="3"/>
        <v>6.1302681992337203E-2</v>
      </c>
      <c r="V17" s="109">
        <f t="shared" si="4"/>
        <v>5.0583657587548597E-2</v>
      </c>
      <c r="W17" s="109">
        <f t="shared" si="5"/>
        <v>7.2992700729926996E-3</v>
      </c>
      <c r="X17" s="109">
        <f t="shared" si="6"/>
        <v>1.50375939849624E-2</v>
      </c>
      <c r="Y17" s="109">
        <f t="shared" si="7"/>
        <v>0.102127659574468</v>
      </c>
      <c r="Z17" s="109">
        <f t="shared" si="8"/>
        <v>6.9565217391304293E-2</v>
      </c>
      <c r="AA17" s="109">
        <f t="shared" si="9"/>
        <v>8.4942084942084897E-2</v>
      </c>
      <c r="AB17" s="109">
        <f t="shared" si="10"/>
        <v>2.3648648648648601E-2</v>
      </c>
      <c r="AC17" s="109">
        <f t="shared" si="11"/>
        <v>7.7922077922077906E-2</v>
      </c>
      <c r="AD17" s="111">
        <f t="shared" si="12"/>
        <v>5.5351783927976003E-2</v>
      </c>
    </row>
    <row r="18" spans="2:30" s="77" customFormat="1" ht="30" customHeight="1">
      <c r="B18" s="89" t="s">
        <v>98</v>
      </c>
      <c r="C18" s="92" t="s">
        <v>42</v>
      </c>
      <c r="D18" s="91">
        <v>12</v>
      </c>
      <c r="E18" s="91">
        <v>9</v>
      </c>
      <c r="F18" s="91">
        <v>16</v>
      </c>
      <c r="G18" s="91">
        <v>19</v>
      </c>
      <c r="H18" s="91">
        <v>25</v>
      </c>
      <c r="I18" s="91">
        <v>17</v>
      </c>
      <c r="J18" s="91">
        <v>20</v>
      </c>
      <c r="K18" s="91">
        <v>14</v>
      </c>
      <c r="L18" s="91">
        <v>5</v>
      </c>
      <c r="M18" s="91">
        <v>14</v>
      </c>
      <c r="N18" s="91">
        <v>5</v>
      </c>
      <c r="O18" s="91">
        <v>2</v>
      </c>
      <c r="P18" s="99">
        <f>SUM(tblExpenses[[#This Row],[1 月]:[12 月]])</f>
        <v>158</v>
      </c>
      <c r="Q18" s="107">
        <v>0.01</v>
      </c>
      <c r="R18" s="109">
        <f t="shared" si="0"/>
        <v>5.0847457627118599E-2</v>
      </c>
      <c r="S18" s="109">
        <f t="shared" si="1"/>
        <v>4.39024390243902E-2</v>
      </c>
      <c r="T18" s="109">
        <f t="shared" si="2"/>
        <v>6.4257028112449793E-2</v>
      </c>
      <c r="U18" s="109">
        <f t="shared" si="3"/>
        <v>7.2796934865900401E-2</v>
      </c>
      <c r="V18" s="109">
        <f t="shared" si="4"/>
        <v>9.7276264591439704E-2</v>
      </c>
      <c r="W18" s="109">
        <f t="shared" si="5"/>
        <v>6.2043795620437998E-2</v>
      </c>
      <c r="X18" s="109">
        <f t="shared" si="6"/>
        <v>7.5187969924811998E-2</v>
      </c>
      <c r="Y18" s="109">
        <f t="shared" si="7"/>
        <v>5.95744680851064E-2</v>
      </c>
      <c r="Z18" s="109">
        <f t="shared" si="8"/>
        <v>2.1739130434782601E-2</v>
      </c>
      <c r="AA18" s="109">
        <f t="shared" si="9"/>
        <v>5.4054054054054099E-2</v>
      </c>
      <c r="AB18" s="109">
        <f t="shared" si="10"/>
        <v>1.68918918918919E-2</v>
      </c>
      <c r="AC18" s="109">
        <f t="shared" si="11"/>
        <v>8.6580086580086597E-3</v>
      </c>
      <c r="AD18" s="111">
        <f t="shared" si="12"/>
        <v>5.2684228076025297E-2</v>
      </c>
    </row>
    <row r="19" spans="2:30" s="77" customFormat="1" ht="30" customHeight="1">
      <c r="B19" s="89" t="s">
        <v>217</v>
      </c>
      <c r="C19" s="92" t="s">
        <v>42</v>
      </c>
      <c r="D19" s="91">
        <v>16</v>
      </c>
      <c r="E19" s="91">
        <v>13</v>
      </c>
      <c r="F19" s="91">
        <v>10</v>
      </c>
      <c r="G19" s="91">
        <v>7</v>
      </c>
      <c r="H19" s="91">
        <v>13</v>
      </c>
      <c r="I19" s="91">
        <v>3</v>
      </c>
      <c r="J19" s="91">
        <v>13</v>
      </c>
      <c r="K19" s="91">
        <v>17</v>
      </c>
      <c r="L19" s="91">
        <v>9</v>
      </c>
      <c r="M19" s="91">
        <v>4</v>
      </c>
      <c r="N19" s="91">
        <v>22</v>
      </c>
      <c r="O19" s="91">
        <v>18</v>
      </c>
      <c r="P19" s="99">
        <f>SUM(tblExpenses[[#This Row],[1 月]:[12 月]])</f>
        <v>145</v>
      </c>
      <c r="Q19" s="107">
        <v>0.14000000000000001</v>
      </c>
      <c r="R19" s="109">
        <f t="shared" si="0"/>
        <v>6.7796610169491497E-2</v>
      </c>
      <c r="S19" s="109">
        <f t="shared" si="1"/>
        <v>6.3414634146341506E-2</v>
      </c>
      <c r="T19" s="109">
        <f t="shared" si="2"/>
        <v>4.0160642570281103E-2</v>
      </c>
      <c r="U19" s="109">
        <f t="shared" si="3"/>
        <v>2.68199233716475E-2</v>
      </c>
      <c r="V19" s="109">
        <f t="shared" si="4"/>
        <v>5.0583657587548597E-2</v>
      </c>
      <c r="W19" s="109">
        <f t="shared" si="5"/>
        <v>1.09489051094891E-2</v>
      </c>
      <c r="X19" s="109">
        <f t="shared" si="6"/>
        <v>4.8872180451127803E-2</v>
      </c>
      <c r="Y19" s="109">
        <f t="shared" si="7"/>
        <v>7.2340425531914901E-2</v>
      </c>
      <c r="Z19" s="109">
        <f t="shared" si="8"/>
        <v>3.9130434782608699E-2</v>
      </c>
      <c r="AA19" s="109">
        <f t="shared" si="9"/>
        <v>1.5444015444015399E-2</v>
      </c>
      <c r="AB19" s="109">
        <f t="shared" si="10"/>
        <v>7.4324324324324301E-2</v>
      </c>
      <c r="AC19" s="109">
        <f t="shared" si="11"/>
        <v>7.7922077922077906E-2</v>
      </c>
      <c r="AD19" s="111">
        <f t="shared" si="12"/>
        <v>4.8349449816605501E-2</v>
      </c>
    </row>
    <row r="20" spans="2:30" s="77" customFormat="1" ht="30" customHeight="1">
      <c r="B20" s="89" t="s">
        <v>50</v>
      </c>
      <c r="C20" s="92" t="s">
        <v>42</v>
      </c>
      <c r="D20" s="91">
        <v>3</v>
      </c>
      <c r="E20" s="91">
        <v>2</v>
      </c>
      <c r="F20" s="91">
        <v>19</v>
      </c>
      <c r="G20" s="91">
        <v>21</v>
      </c>
      <c r="H20" s="91">
        <v>13</v>
      </c>
      <c r="I20" s="91">
        <v>9</v>
      </c>
      <c r="J20" s="91">
        <v>7</v>
      </c>
      <c r="K20" s="91">
        <v>13</v>
      </c>
      <c r="L20" s="91">
        <v>3</v>
      </c>
      <c r="M20" s="91">
        <v>6</v>
      </c>
      <c r="N20" s="91">
        <v>10</v>
      </c>
      <c r="O20" s="91">
        <v>13</v>
      </c>
      <c r="P20" s="99">
        <f>SUM(tblExpenses[[#This Row],[1 月]:[12 月]])</f>
        <v>119</v>
      </c>
      <c r="Q20" s="107">
        <v>0.06</v>
      </c>
      <c r="R20" s="109">
        <f t="shared" si="0"/>
        <v>1.27118644067797E-2</v>
      </c>
      <c r="S20" s="109">
        <f t="shared" si="1"/>
        <v>9.7560975609756097E-3</v>
      </c>
      <c r="T20" s="109">
        <f t="shared" si="2"/>
        <v>7.63052208835341E-2</v>
      </c>
      <c r="U20" s="109">
        <f t="shared" si="3"/>
        <v>8.04597701149425E-2</v>
      </c>
      <c r="V20" s="109">
        <f t="shared" si="4"/>
        <v>5.0583657587548597E-2</v>
      </c>
      <c r="W20" s="109">
        <f t="shared" si="5"/>
        <v>3.2846715328467203E-2</v>
      </c>
      <c r="X20" s="109">
        <f t="shared" si="6"/>
        <v>2.6315789473684199E-2</v>
      </c>
      <c r="Y20" s="109">
        <f t="shared" si="7"/>
        <v>5.5319148936170202E-2</v>
      </c>
      <c r="Z20" s="109">
        <f t="shared" si="8"/>
        <v>1.3043478260869599E-2</v>
      </c>
      <c r="AA20" s="109">
        <f t="shared" si="9"/>
        <v>2.31660231660232E-2</v>
      </c>
      <c r="AB20" s="109">
        <f t="shared" si="10"/>
        <v>3.37837837837838E-2</v>
      </c>
      <c r="AC20" s="109">
        <f t="shared" si="11"/>
        <v>5.62770562770563E-2</v>
      </c>
      <c r="AD20" s="111">
        <f t="shared" si="12"/>
        <v>3.9679893297765903E-2</v>
      </c>
    </row>
    <row r="21" spans="2:30" s="77" customFormat="1" ht="30" customHeight="1">
      <c r="B21" s="89" t="s">
        <v>158</v>
      </c>
      <c r="C21" s="92" t="s">
        <v>42</v>
      </c>
      <c r="D21" s="91">
        <v>8</v>
      </c>
      <c r="E21" s="91">
        <v>7</v>
      </c>
      <c r="F21" s="91">
        <v>6</v>
      </c>
      <c r="G21" s="91">
        <v>7</v>
      </c>
      <c r="H21" s="91">
        <v>7</v>
      </c>
      <c r="I21" s="91">
        <v>6</v>
      </c>
      <c r="J21" s="91">
        <v>15</v>
      </c>
      <c r="K21" s="91">
        <v>23</v>
      </c>
      <c r="L21" s="91">
        <v>21</v>
      </c>
      <c r="M21" s="91">
        <v>16</v>
      </c>
      <c r="N21" s="91">
        <v>19</v>
      </c>
      <c r="O21" s="91">
        <v>7</v>
      </c>
      <c r="P21" s="99">
        <f>SUM(tblExpenses[[#This Row],[1 月]:[12 月]])</f>
        <v>142</v>
      </c>
      <c r="Q21" s="107">
        <v>0.01</v>
      </c>
      <c r="R21" s="109">
        <f t="shared" si="0"/>
        <v>3.3898305084745797E-2</v>
      </c>
      <c r="S21" s="109">
        <f t="shared" si="1"/>
        <v>3.4146341463414602E-2</v>
      </c>
      <c r="T21" s="109">
        <f t="shared" si="2"/>
        <v>2.40963855421687E-2</v>
      </c>
      <c r="U21" s="109">
        <f t="shared" si="3"/>
        <v>2.68199233716475E-2</v>
      </c>
      <c r="V21" s="109">
        <f t="shared" si="4"/>
        <v>2.7237354085603099E-2</v>
      </c>
      <c r="W21" s="109">
        <f t="shared" si="5"/>
        <v>2.18978102189781E-2</v>
      </c>
      <c r="X21" s="109">
        <f t="shared" si="6"/>
        <v>5.6390977443608999E-2</v>
      </c>
      <c r="Y21" s="109">
        <f t="shared" si="7"/>
        <v>9.7872340425531903E-2</v>
      </c>
      <c r="Z21" s="109">
        <f t="shared" si="8"/>
        <v>9.1304347826086998E-2</v>
      </c>
      <c r="AA21" s="109">
        <f t="shared" si="9"/>
        <v>6.1776061776061798E-2</v>
      </c>
      <c r="AB21" s="109">
        <f t="shared" si="10"/>
        <v>6.41891891891892E-2</v>
      </c>
      <c r="AC21" s="109">
        <f t="shared" si="11"/>
        <v>3.03030303030303E-2</v>
      </c>
      <c r="AD21" s="111">
        <f t="shared" si="12"/>
        <v>4.7349116372124002E-2</v>
      </c>
    </row>
    <row r="22" spans="2:30" s="77" customFormat="1" ht="30" customHeight="1">
      <c r="B22" s="89" t="s">
        <v>218</v>
      </c>
      <c r="C22" s="92" t="s">
        <v>42</v>
      </c>
      <c r="D22" s="91">
        <v>14</v>
      </c>
      <c r="E22" s="91">
        <v>4</v>
      </c>
      <c r="F22" s="91">
        <v>24</v>
      </c>
      <c r="G22" s="91">
        <v>6</v>
      </c>
      <c r="H22" s="91">
        <v>20</v>
      </c>
      <c r="I22" s="91">
        <v>14</v>
      </c>
      <c r="J22" s="91">
        <v>21</v>
      </c>
      <c r="K22" s="91">
        <v>20</v>
      </c>
      <c r="L22" s="91">
        <v>22</v>
      </c>
      <c r="M22" s="91">
        <v>3</v>
      </c>
      <c r="N22" s="91">
        <v>14</v>
      </c>
      <c r="O22" s="91">
        <v>6</v>
      </c>
      <c r="P22" s="99">
        <f>SUM(tblExpenses[[#This Row],[1 月]:[12 月]])</f>
        <v>168</v>
      </c>
      <c r="Q22" s="107">
        <v>0.01</v>
      </c>
      <c r="R22" s="109">
        <f t="shared" si="0"/>
        <v>5.93220338983051E-2</v>
      </c>
      <c r="S22" s="109">
        <f t="shared" si="1"/>
        <v>1.9512195121951199E-2</v>
      </c>
      <c r="T22" s="109">
        <f t="shared" si="2"/>
        <v>9.6385542168674704E-2</v>
      </c>
      <c r="U22" s="109">
        <f t="shared" si="3"/>
        <v>2.2988505747126398E-2</v>
      </c>
      <c r="V22" s="109">
        <f t="shared" si="4"/>
        <v>7.7821011673151794E-2</v>
      </c>
      <c r="W22" s="109">
        <f t="shared" si="5"/>
        <v>5.1094890510948898E-2</v>
      </c>
      <c r="X22" s="109">
        <f t="shared" si="6"/>
        <v>7.8947368421052599E-2</v>
      </c>
      <c r="Y22" s="109">
        <f t="shared" si="7"/>
        <v>8.5106382978723402E-2</v>
      </c>
      <c r="Z22" s="109">
        <f t="shared" si="8"/>
        <v>9.5652173913043495E-2</v>
      </c>
      <c r="AA22" s="109">
        <f t="shared" si="9"/>
        <v>1.15830115830116E-2</v>
      </c>
      <c r="AB22" s="109">
        <f t="shared" si="10"/>
        <v>4.72972972972973E-2</v>
      </c>
      <c r="AC22" s="109">
        <f t="shared" si="11"/>
        <v>2.5974025974026E-2</v>
      </c>
      <c r="AD22" s="111">
        <f t="shared" si="12"/>
        <v>5.6018672890963697E-2</v>
      </c>
    </row>
    <row r="23" spans="2:30" s="77" customFormat="1" ht="30" customHeight="1">
      <c r="B23" s="89" t="s">
        <v>218</v>
      </c>
      <c r="C23" s="92" t="s">
        <v>42</v>
      </c>
      <c r="D23" s="91">
        <v>14</v>
      </c>
      <c r="E23" s="91">
        <v>7</v>
      </c>
      <c r="F23" s="91">
        <v>24</v>
      </c>
      <c r="G23" s="91">
        <v>10</v>
      </c>
      <c r="H23" s="91">
        <v>7</v>
      </c>
      <c r="I23" s="91">
        <v>24</v>
      </c>
      <c r="J23" s="91">
        <v>2</v>
      </c>
      <c r="K23" s="91">
        <v>11</v>
      </c>
      <c r="L23" s="91">
        <v>21</v>
      </c>
      <c r="M23" s="91">
        <v>19</v>
      </c>
      <c r="N23" s="91">
        <v>19</v>
      </c>
      <c r="O23" s="91">
        <v>20</v>
      </c>
      <c r="P23" s="99">
        <f>SUM(tblExpenses[[#This Row],[1 月]:[12 月]])</f>
        <v>178</v>
      </c>
      <c r="Q23" s="107">
        <v>0.01</v>
      </c>
      <c r="R23" s="109">
        <f t="shared" si="0"/>
        <v>5.93220338983051E-2</v>
      </c>
      <c r="S23" s="109">
        <f t="shared" si="1"/>
        <v>3.4146341463414602E-2</v>
      </c>
      <c r="T23" s="109">
        <f t="shared" si="2"/>
        <v>9.6385542168674704E-2</v>
      </c>
      <c r="U23" s="109">
        <f t="shared" si="3"/>
        <v>3.8314176245210697E-2</v>
      </c>
      <c r="V23" s="109">
        <f t="shared" si="4"/>
        <v>2.7237354085603099E-2</v>
      </c>
      <c r="W23" s="109">
        <f t="shared" si="5"/>
        <v>8.7591240875912399E-2</v>
      </c>
      <c r="X23" s="109">
        <f t="shared" si="6"/>
        <v>7.5187969924812E-3</v>
      </c>
      <c r="Y23" s="109">
        <f t="shared" si="7"/>
        <v>4.6808510638297898E-2</v>
      </c>
      <c r="Z23" s="109">
        <f t="shared" si="8"/>
        <v>9.1304347826086998E-2</v>
      </c>
      <c r="AA23" s="109">
        <f t="shared" si="9"/>
        <v>7.3359073359073407E-2</v>
      </c>
      <c r="AB23" s="109">
        <f t="shared" si="10"/>
        <v>6.41891891891892E-2</v>
      </c>
      <c r="AC23" s="109">
        <f t="shared" si="11"/>
        <v>8.6580086580086604E-2</v>
      </c>
      <c r="AD23" s="111">
        <f t="shared" si="12"/>
        <v>5.9353117705902E-2</v>
      </c>
    </row>
    <row r="24" spans="2:30" s="77" customFormat="1" ht="30" customHeight="1">
      <c r="B24" s="89" t="s">
        <v>218</v>
      </c>
      <c r="C24" s="92" t="s">
        <v>42</v>
      </c>
      <c r="D24" s="91">
        <v>11</v>
      </c>
      <c r="E24" s="91">
        <v>8</v>
      </c>
      <c r="F24" s="91">
        <v>25</v>
      </c>
      <c r="G24" s="91">
        <v>11</v>
      </c>
      <c r="H24" s="91">
        <v>9</v>
      </c>
      <c r="I24" s="91">
        <v>24</v>
      </c>
      <c r="J24" s="91">
        <v>13</v>
      </c>
      <c r="K24" s="91">
        <v>14</v>
      </c>
      <c r="L24" s="91">
        <v>19</v>
      </c>
      <c r="M24" s="91">
        <v>24</v>
      </c>
      <c r="N24" s="91">
        <v>15</v>
      </c>
      <c r="O24" s="91">
        <v>7</v>
      </c>
      <c r="P24" s="99">
        <f>SUM(tblExpenses[[#This Row],[1 月]:[12 月]])</f>
        <v>180</v>
      </c>
      <c r="Q24" s="107">
        <v>0.01</v>
      </c>
      <c r="R24" s="109">
        <f t="shared" si="0"/>
        <v>4.6610169491525397E-2</v>
      </c>
      <c r="S24" s="109">
        <f t="shared" si="1"/>
        <v>3.9024390243902397E-2</v>
      </c>
      <c r="T24" s="109">
        <f t="shared" si="2"/>
        <v>0.100401606425703</v>
      </c>
      <c r="U24" s="109">
        <f t="shared" si="3"/>
        <v>4.2145593869731802E-2</v>
      </c>
      <c r="V24" s="109">
        <f t="shared" si="4"/>
        <v>3.5019455252918302E-2</v>
      </c>
      <c r="W24" s="109">
        <f t="shared" si="5"/>
        <v>8.7591240875912399E-2</v>
      </c>
      <c r="X24" s="109">
        <f t="shared" si="6"/>
        <v>4.8872180451127803E-2</v>
      </c>
      <c r="Y24" s="109">
        <f t="shared" si="7"/>
        <v>5.95744680851064E-2</v>
      </c>
      <c r="Z24" s="109">
        <f t="shared" si="8"/>
        <v>8.2608695652173894E-2</v>
      </c>
      <c r="AA24" s="109">
        <f t="shared" si="9"/>
        <v>9.2664092664092701E-2</v>
      </c>
      <c r="AB24" s="109">
        <f t="shared" si="10"/>
        <v>5.0675675675675699E-2</v>
      </c>
      <c r="AC24" s="109">
        <f t="shared" si="11"/>
        <v>3.03030303030303E-2</v>
      </c>
      <c r="AD24" s="111">
        <f t="shared" si="12"/>
        <v>6.0020006668889597E-2</v>
      </c>
    </row>
    <row r="25" spans="2:30" s="77" customFormat="1" ht="30" customHeight="1">
      <c r="B25" s="89" t="s">
        <v>219</v>
      </c>
      <c r="C25" s="92" t="s">
        <v>42</v>
      </c>
      <c r="D25" s="91">
        <v>8</v>
      </c>
      <c r="E25" s="91">
        <v>20</v>
      </c>
      <c r="F25" s="91">
        <v>11</v>
      </c>
      <c r="G25" s="91">
        <v>11</v>
      </c>
      <c r="H25" s="91">
        <v>11</v>
      </c>
      <c r="I25" s="91">
        <v>20</v>
      </c>
      <c r="J25" s="91">
        <v>12</v>
      </c>
      <c r="K25" s="91">
        <v>16</v>
      </c>
      <c r="L25" s="91">
        <v>5</v>
      </c>
      <c r="M25" s="91">
        <v>7</v>
      </c>
      <c r="N25" s="91">
        <v>21</v>
      </c>
      <c r="O25" s="91">
        <v>3</v>
      </c>
      <c r="P25" s="100">
        <f>SUM(tblExpenses[[#This Row],[1 月]:[12 月]])</f>
        <v>145</v>
      </c>
      <c r="Q25" s="107">
        <v>0.02</v>
      </c>
      <c r="R25" s="109">
        <f t="shared" si="0"/>
        <v>3.3898305084745797E-2</v>
      </c>
      <c r="S25" s="109">
        <f t="shared" si="1"/>
        <v>9.7560975609756101E-2</v>
      </c>
      <c r="T25" s="109">
        <f t="shared" si="2"/>
        <v>4.4176706827309203E-2</v>
      </c>
      <c r="U25" s="109">
        <f t="shared" si="3"/>
        <v>4.2145593869731802E-2</v>
      </c>
      <c r="V25" s="109">
        <f t="shared" si="4"/>
        <v>4.2801556420233498E-2</v>
      </c>
      <c r="W25" s="109">
        <f t="shared" si="5"/>
        <v>7.2992700729927001E-2</v>
      </c>
      <c r="X25" s="109">
        <f t="shared" si="6"/>
        <v>4.5112781954887202E-2</v>
      </c>
      <c r="Y25" s="109">
        <f t="shared" si="7"/>
        <v>6.8085106382978697E-2</v>
      </c>
      <c r="Z25" s="109">
        <f t="shared" si="8"/>
        <v>2.1739130434782601E-2</v>
      </c>
      <c r="AA25" s="109">
        <f t="shared" si="9"/>
        <v>2.7027027027027001E-2</v>
      </c>
      <c r="AB25" s="109">
        <f t="shared" si="10"/>
        <v>7.0945945945945901E-2</v>
      </c>
      <c r="AC25" s="109">
        <f t="shared" si="11"/>
        <v>1.2987012987013E-2</v>
      </c>
      <c r="AD25" s="111">
        <f t="shared" si="12"/>
        <v>4.8349449816605501E-2</v>
      </c>
    </row>
    <row r="26" spans="2:30" s="77" customFormat="1" ht="30" customHeight="1">
      <c r="B26" s="93" t="s">
        <v>159</v>
      </c>
      <c r="C26" s="92"/>
      <c r="D26" s="91">
        <f t="shared" ref="D26:O26" si="13">SUM(D7:D25)</f>
        <v>236</v>
      </c>
      <c r="E26" s="91">
        <f t="shared" si="13"/>
        <v>205</v>
      </c>
      <c r="F26" s="91">
        <f t="shared" si="13"/>
        <v>249</v>
      </c>
      <c r="G26" s="94">
        <f t="shared" si="13"/>
        <v>261</v>
      </c>
      <c r="H26" s="94">
        <f t="shared" si="13"/>
        <v>257</v>
      </c>
      <c r="I26" s="94">
        <f t="shared" si="13"/>
        <v>274</v>
      </c>
      <c r="J26" s="94">
        <f t="shared" si="13"/>
        <v>266</v>
      </c>
      <c r="K26" s="94">
        <f t="shared" si="13"/>
        <v>235</v>
      </c>
      <c r="L26" s="94">
        <f t="shared" si="13"/>
        <v>230</v>
      </c>
      <c r="M26" s="94">
        <f t="shared" si="13"/>
        <v>259</v>
      </c>
      <c r="N26" s="94">
        <f t="shared" si="13"/>
        <v>296</v>
      </c>
      <c r="O26" s="94">
        <f t="shared" si="13"/>
        <v>231</v>
      </c>
      <c r="P26" s="101">
        <f>SUM(tblExpenses[[#This Row],[1 月]:[12 月]])</f>
        <v>2999</v>
      </c>
      <c r="Q26" s="110">
        <f>SUM(Q7:Q25)</f>
        <v>1</v>
      </c>
      <c r="R26" s="111">
        <f t="shared" si="0"/>
        <v>1</v>
      </c>
      <c r="S26" s="111">
        <f t="shared" si="1"/>
        <v>1</v>
      </c>
      <c r="T26" s="111">
        <f t="shared" si="2"/>
        <v>1</v>
      </c>
      <c r="U26" s="111">
        <f t="shared" si="3"/>
        <v>1</v>
      </c>
      <c r="V26" s="111">
        <f t="shared" si="4"/>
        <v>1</v>
      </c>
      <c r="W26" s="111">
        <f t="shared" si="5"/>
        <v>1</v>
      </c>
      <c r="X26" s="111">
        <f t="shared" si="6"/>
        <v>1</v>
      </c>
      <c r="Y26" s="111">
        <f t="shared" si="7"/>
        <v>1</v>
      </c>
      <c r="Z26" s="111">
        <f t="shared" si="8"/>
        <v>1</v>
      </c>
      <c r="AA26" s="111">
        <f t="shared" si="9"/>
        <v>1</v>
      </c>
      <c r="AB26" s="111">
        <f t="shared" si="10"/>
        <v>1</v>
      </c>
      <c r="AC26" s="111">
        <f t="shared" si="11"/>
        <v>1</v>
      </c>
      <c r="AD26" s="111">
        <f t="shared" si="12"/>
        <v>1</v>
      </c>
    </row>
    <row r="27" spans="2:30" s="77" customFormat="1" ht="30" customHeight="1">
      <c r="B27" s="87" t="s">
        <v>220</v>
      </c>
      <c r="C27" s="95"/>
      <c r="D27" s="96">
        <f>成本!D15-D26</f>
        <v>297</v>
      </c>
      <c r="E27" s="96">
        <f>成本!E15-E26</f>
        <v>-205</v>
      </c>
      <c r="F27" s="96">
        <f>成本!F15-F26</f>
        <v>-249</v>
      </c>
      <c r="G27" s="96">
        <f>成本!G15-G26</f>
        <v>-261</v>
      </c>
      <c r="H27" s="96">
        <f>成本!H15-H26</f>
        <v>-257</v>
      </c>
      <c r="I27" s="96">
        <f>成本!I15-I26</f>
        <v>-274</v>
      </c>
      <c r="J27" s="96">
        <f>成本!J15-J26</f>
        <v>-266</v>
      </c>
      <c r="K27" s="96">
        <f>成本!K15-K26</f>
        <v>-235</v>
      </c>
      <c r="L27" s="96">
        <f>成本!L15-L26</f>
        <v>-230</v>
      </c>
      <c r="M27" s="96">
        <f>成本!M15-M26</f>
        <v>-259</v>
      </c>
      <c r="N27" s="96">
        <f>成本!N15-N26</f>
        <v>-296</v>
      </c>
      <c r="O27" s="96">
        <f>成本!O15-O26</f>
        <v>-231</v>
      </c>
      <c r="P27" s="96">
        <f>成本!P15-P26</f>
        <v>-2466</v>
      </c>
      <c r="Q27" s="112"/>
      <c r="R27" s="112"/>
      <c r="S27" s="112"/>
      <c r="T27" s="112"/>
      <c r="U27" s="112"/>
      <c r="V27" s="112"/>
      <c r="W27" s="112"/>
      <c r="X27" s="112"/>
      <c r="Y27" s="112"/>
      <c r="Z27" s="112"/>
      <c r="AA27" s="112"/>
      <c r="AB27" s="112"/>
      <c r="AC27" s="112"/>
      <c r="AD27" s="112"/>
    </row>
    <row r="32" spans="2:30" ht="30" customHeight="1">
      <c r="L32" s="102"/>
    </row>
  </sheetData>
  <phoneticPr fontId="105" type="noConversion"/>
  <dataValidations count="9">
    <dataValidation allowBlank="1" showInputMessage="1" showErrorMessage="1" prompt="此工作表计算每个项目的每月支出、每年支出和年度总支出。将根据毛利润和总支出自动计算净利润" sqref="A1" xr:uid="{00000000-0002-0000-0600-000000000000}"/>
    <dataValidation allowBlank="1" showInputMessage="1" showErrorMessage="1" prompt="公司名称将根据“收入（销售额）”工作表中的条目自动更新" sqref="B2" xr:uid="{00000000-0002-0000-0600-000001000000}"/>
    <dataValidation allowBlank="1" showInputMessage="1" showErrorMessage="1" prompt="根据“收入（销售额）”工作表自动更新的标题。在下面的“支出”表中输入值，以便计算总支出" sqref="B4" xr:uid="{00000000-0002-0000-0600-000002000000}"/>
    <dataValidation allowBlank="1" showInputMessage="1" showErrorMessage="1" prompt="在此列中输入支出" sqref="B6" xr:uid="{00000000-0002-0000-0600-000003000000}"/>
    <dataValidation allowBlank="1" showInputMessage="1" showErrorMessage="1" prompt="此列是随时间推移的支出趋势图" sqref="C6" xr:uid="{00000000-0002-0000-0600-000004000000}"/>
    <dataValidation allowBlank="1" showInputMessage="1" showErrorMessage="1" prompt="“年度支出”在此列中自动计算" sqref="P6" xr:uid="{00000000-0002-0000-0600-000005000000}"/>
    <dataValidation allowBlank="1" showInputMessage="1" showErrorMessage="1" prompt="指数率位于此列中" sqref="Q6" xr:uid="{00000000-0002-0000-0600-000006000000}"/>
    <dataValidation allowBlank="1" showInputMessage="1" showErrorMessage="1" prompt="针对此单元格中的月份，在此列中自动计算不同源的支出占该月总支出的比例" sqref="R6:AC6" xr:uid="{00000000-0002-0000-0600-000007000000}"/>
    <dataValidation allowBlank="1" showInputMessage="1" showErrorMessage="1" prompt="在此列中自动计算不同源的支出占该年总支出的比例" sqref="AD6" xr:uid="{00000000-0002-0000-0600-000008000000}"/>
  </dataValidations>
  <printOptions horizontalCentered="1"/>
  <pageMargins left="0.25" right="0.25" top="0.75" bottom="0.75" header="0.3" footer="0.3"/>
  <pageSetup paperSize="9" scale="37" fitToHeight="0" orientation="landscape"/>
  <headerFooter differentFirst="1"/>
  <tableParts count="1">
    <tablePart r:id="rId1"/>
  </tableParts>
  <extLst>
    <ext xmlns:x14="http://schemas.microsoft.com/office/spreadsheetml/2009/9/main" uri="{05C60535-1F16-4fd2-B633-F4F36F0B64E0}">
      <x14:sparklineGroups xmlns:xm="http://schemas.microsoft.com/office/excel/2006/main">
        <x14:sparklineGroup lineWeight="1" displayEmptyCellsAs="gap" high="1" low="1" xr2:uid="{00000000-0003-0000-0600-000007000000}">
          <x14:colorSeries theme="3"/>
          <x14:colorNegative theme="5"/>
          <x14:colorAxis rgb="FF000000"/>
          <x14:colorMarkers theme="4" tint="-0.499984740745262"/>
          <x14:colorFirst theme="4" tint="0.39994506668294322"/>
          <x14:colorLast theme="4" tint="0.39994506668294322"/>
          <x14:colorHigh theme="3"/>
          <x14:colorLow theme="3"/>
          <x14:sparklines>
            <x14:sparkline>
              <xm:f>支出!D7:O7</xm:f>
              <xm:sqref>C7</xm:sqref>
            </x14:sparkline>
            <x14:sparkline>
              <xm:f>支出!D8:O8</xm:f>
              <xm:sqref>C8</xm:sqref>
            </x14:sparkline>
            <x14:sparkline>
              <xm:f>支出!D9:O9</xm:f>
              <xm:sqref>C9</xm:sqref>
            </x14:sparkline>
            <x14:sparkline>
              <xm:f>支出!D10:O10</xm:f>
              <xm:sqref>C10</xm:sqref>
            </x14:sparkline>
            <x14:sparkline>
              <xm:f>支出!D11:O11</xm:f>
              <xm:sqref>C11</xm:sqref>
            </x14:sparkline>
            <x14:sparkline>
              <xm:f>支出!D12:O12</xm:f>
              <xm:sqref>C12</xm:sqref>
            </x14:sparkline>
            <x14:sparkline>
              <xm:f>支出!D13:O13</xm:f>
              <xm:sqref>C13</xm:sqref>
            </x14:sparkline>
            <x14:sparkline>
              <xm:f>支出!D14:O14</xm:f>
              <xm:sqref>C14</xm:sqref>
            </x14:sparkline>
            <x14:sparkline>
              <xm:f>支出!D15:O15</xm:f>
              <xm:sqref>C15</xm:sqref>
            </x14:sparkline>
            <x14:sparkline>
              <xm:f>支出!D16:O16</xm:f>
              <xm:sqref>C16</xm:sqref>
            </x14:sparkline>
            <x14:sparkline>
              <xm:f>支出!D17:O17</xm:f>
              <xm:sqref>C17</xm:sqref>
            </x14:sparkline>
            <x14:sparkline>
              <xm:f>支出!D18:O18</xm:f>
              <xm:sqref>C18</xm:sqref>
            </x14:sparkline>
            <x14:sparkline>
              <xm:f>支出!D19:O19</xm:f>
              <xm:sqref>C19</xm:sqref>
            </x14:sparkline>
            <x14:sparkline>
              <xm:f>支出!D20:O20</xm:f>
              <xm:sqref>C20</xm:sqref>
            </x14:sparkline>
            <x14:sparkline>
              <xm:f>支出!D21:O21</xm:f>
              <xm:sqref>C21</xm:sqref>
            </x14:sparkline>
            <x14:sparkline>
              <xm:f>支出!D22:O22</xm:f>
              <xm:sqref>C22</xm:sqref>
            </x14:sparkline>
            <x14:sparkline>
              <xm:f>支出!D23:O23</xm:f>
              <xm:sqref>C23</xm:sqref>
            </x14:sparkline>
            <x14:sparkline>
              <xm:f>支出!D24:O24</xm:f>
              <xm:sqref>C24</xm:sqref>
            </x14:sparkline>
            <x14:sparkline>
              <xm:f>支出!D25:O25</xm:f>
              <xm:sqref>C25</xm:sqref>
            </x14:sparkline>
            <x14:sparkline>
              <xm:f>支出!D26:O26</xm:f>
              <xm:sqref>C26</xm:sqref>
            </x14:sparkline>
          </x14:sparklines>
        </x14:sparklineGroup>
      </x14:sparklineGroup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9" tint="-0.499984740745262"/>
    <pageSetUpPr autoPageBreaks="0" fitToPage="1"/>
  </sheetPr>
  <dimension ref="B2:M20"/>
  <sheetViews>
    <sheetView showGridLines="0" workbookViewId="0">
      <selection activeCell="G9" sqref="G9"/>
    </sheetView>
  </sheetViews>
  <sheetFormatPr baseColWidth="10" defaultColWidth="9" defaultRowHeight="30" customHeight="1"/>
  <cols>
    <col min="1" max="1" width="2.6640625" style="1" customWidth="1"/>
    <col min="2" max="2" width="22.1640625" style="1" customWidth="1"/>
    <col min="3" max="3" width="21.1640625" style="1" customWidth="1"/>
    <col min="4" max="4" width="23.83203125" style="1" customWidth="1"/>
    <col min="5" max="5" width="21.1640625" style="1" customWidth="1"/>
    <col min="6" max="9" width="14.33203125" style="1" customWidth="1"/>
    <col min="10" max="10" width="12.6640625" style="1" customWidth="1"/>
    <col min="11" max="11" width="17" style="1" customWidth="1"/>
    <col min="12" max="12" width="11.6640625" style="1" customWidth="1"/>
    <col min="13" max="13" width="15" style="1" customWidth="1"/>
    <col min="14" max="14" width="3.1640625" style="1" customWidth="1"/>
    <col min="15" max="16384" width="9" style="1"/>
  </cols>
  <sheetData>
    <row r="2" spans="2:13" ht="30" customHeight="1">
      <c r="B2" s="379" t="s">
        <v>282</v>
      </c>
      <c r="C2" s="380"/>
      <c r="D2" s="380"/>
      <c r="E2" s="380"/>
      <c r="F2" s="380"/>
      <c r="G2" s="380"/>
      <c r="H2" s="380"/>
      <c r="I2" s="380"/>
      <c r="J2" s="380"/>
      <c r="K2" s="380"/>
      <c r="L2" s="380"/>
      <c r="M2" s="380"/>
    </row>
    <row r="3" spans="2:13" ht="30" customHeight="1">
      <c r="B3" s="2" t="s">
        <v>283</v>
      </c>
      <c r="C3" s="3" t="s">
        <v>284</v>
      </c>
      <c r="D3" s="3" t="s">
        <v>285</v>
      </c>
      <c r="E3" s="3" t="s">
        <v>339</v>
      </c>
      <c r="F3" s="3" t="s">
        <v>341</v>
      </c>
      <c r="G3" s="3" t="s">
        <v>340</v>
      </c>
      <c r="H3" s="3" t="s">
        <v>289</v>
      </c>
      <c r="I3" s="3" t="s">
        <v>290</v>
      </c>
      <c r="J3" s="3" t="s">
        <v>291</v>
      </c>
      <c r="K3" s="3" t="s">
        <v>292</v>
      </c>
      <c r="L3" s="3" t="s">
        <v>293</v>
      </c>
      <c r="M3" s="27" t="s">
        <v>294</v>
      </c>
    </row>
    <row r="4" spans="2:13" ht="30" customHeight="1">
      <c r="B4" s="4" t="s">
        <v>342</v>
      </c>
      <c r="C4" s="4" t="s">
        <v>343</v>
      </c>
      <c r="D4" s="4" t="s">
        <v>297</v>
      </c>
      <c r="E4" s="4"/>
      <c r="F4" s="5">
        <v>2</v>
      </c>
      <c r="G4" s="6" t="s">
        <v>299</v>
      </c>
      <c r="H4" s="10">
        <v>43990</v>
      </c>
      <c r="I4" s="28">
        <v>480000</v>
      </c>
      <c r="J4" s="29">
        <v>20</v>
      </c>
      <c r="K4" s="28">
        <v>100000</v>
      </c>
      <c r="L4" s="5">
        <v>2</v>
      </c>
      <c r="M4" s="30">
        <f>IF(AND(I4&lt;&gt;0,K4&lt;&gt;0,J4&lt;&gt;0,L4&lt;&gt;0),DDB(I4,K4,J4,L4),"")</f>
        <v>43200</v>
      </c>
    </row>
    <row r="5" spans="2:13" ht="30" customHeight="1">
      <c r="B5" s="4" t="s">
        <v>300</v>
      </c>
      <c r="C5" s="4" t="s">
        <v>301</v>
      </c>
      <c r="D5" s="4" t="s">
        <v>302</v>
      </c>
      <c r="E5" s="4" t="s">
        <v>303</v>
      </c>
      <c r="F5" s="8" t="s">
        <v>304</v>
      </c>
      <c r="G5" s="9" t="s">
        <v>305</v>
      </c>
      <c r="H5" s="10">
        <v>38146</v>
      </c>
      <c r="I5" s="28">
        <v>124000</v>
      </c>
      <c r="J5" s="31">
        <v>5</v>
      </c>
      <c r="K5" s="28">
        <v>20000</v>
      </c>
      <c r="L5" s="8">
        <v>2</v>
      </c>
      <c r="M5" s="30">
        <f>IF(AND(I5&lt;&gt;0,K5&lt;&gt;0,J5&lt;&gt;0,L5&lt;&gt;0),DDB(I5,K5,J5,L5),"")</f>
        <v>29760</v>
      </c>
    </row>
    <row r="6" spans="2:13" ht="30" customHeight="1">
      <c r="B6" s="4"/>
      <c r="C6" s="4"/>
      <c r="D6" s="4"/>
      <c r="E6" s="4"/>
      <c r="F6" s="8"/>
      <c r="G6" s="9"/>
      <c r="H6" s="10"/>
      <c r="I6" s="28"/>
      <c r="J6" s="31"/>
      <c r="K6" s="28"/>
      <c r="L6" s="8"/>
      <c r="M6" s="30" t="str">
        <f>IF(AND(I6&lt;&gt;0,K6&lt;&gt;0,J6&lt;&gt;0,L6&lt;&gt;0),DDB(I6,K6,J6,L6),"")</f>
        <v/>
      </c>
    </row>
    <row r="7" spans="2:13" ht="30" customHeight="1">
      <c r="B7" s="4"/>
      <c r="C7" s="4"/>
      <c r="D7" s="4"/>
      <c r="E7" s="8"/>
      <c r="F7" s="8"/>
      <c r="G7" s="9"/>
      <c r="H7" s="10"/>
      <c r="I7" s="28"/>
      <c r="J7" s="31"/>
      <c r="K7" s="28"/>
      <c r="L7" s="8"/>
      <c r="M7" s="30" t="str">
        <f>IF(AND(I7&lt;&gt;0,K7&lt;&gt;0,J7&lt;&gt;0,L7&lt;&gt;0),DDB(I7,K7,J7,L7),"")</f>
        <v/>
      </c>
    </row>
    <row r="8" spans="2:13" ht="30" customHeight="1"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</row>
    <row r="9" spans="2:13" ht="30" customHeight="1"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</row>
    <row r="10" spans="2:13" ht="30" customHeight="1">
      <c r="B10" s="379" t="s">
        <v>306</v>
      </c>
      <c r="C10" s="380"/>
      <c r="D10" s="380"/>
      <c r="E10" s="380"/>
      <c r="F10" s="380"/>
      <c r="G10" s="380"/>
      <c r="H10" s="380"/>
      <c r="I10" s="380"/>
      <c r="J10" s="380"/>
      <c r="K10" s="380"/>
      <c r="L10" s="380"/>
      <c r="M10" s="380"/>
    </row>
    <row r="11" spans="2:13" ht="30" customHeight="1">
      <c r="B11" s="2" t="s">
        <v>283</v>
      </c>
      <c r="C11" s="3" t="s">
        <v>284</v>
      </c>
      <c r="D11" s="3" t="s">
        <v>285</v>
      </c>
      <c r="E11" s="3" t="s">
        <v>286</v>
      </c>
      <c r="F11" s="3" t="s">
        <v>287</v>
      </c>
      <c r="G11" s="3" t="s">
        <v>288</v>
      </c>
      <c r="H11" s="3" t="s">
        <v>289</v>
      </c>
      <c r="I11" s="3" t="s">
        <v>290</v>
      </c>
      <c r="J11" s="3" t="s">
        <v>291</v>
      </c>
      <c r="K11" s="3" t="s">
        <v>292</v>
      </c>
      <c r="L11" s="3" t="s">
        <v>293</v>
      </c>
      <c r="M11" s="27" t="s">
        <v>307</v>
      </c>
    </row>
    <row r="12" spans="2:13" ht="30" customHeight="1">
      <c r="B12" s="4" t="s">
        <v>295</v>
      </c>
      <c r="C12" s="4" t="s">
        <v>296</v>
      </c>
      <c r="D12" s="4" t="s">
        <v>297</v>
      </c>
      <c r="E12" s="4" t="s">
        <v>298</v>
      </c>
      <c r="F12" s="5">
        <v>2</v>
      </c>
      <c r="G12" s="6" t="s">
        <v>299</v>
      </c>
      <c r="H12" s="7">
        <v>37661</v>
      </c>
      <c r="I12" s="32">
        <v>480000</v>
      </c>
      <c r="J12" s="29">
        <v>20</v>
      </c>
      <c r="K12" s="32">
        <v>100000</v>
      </c>
      <c r="L12" s="5">
        <v>2</v>
      </c>
      <c r="M12" s="30">
        <f>IF(AND(I12&lt;&gt;0,K12&lt;&gt;0,J12&lt;&gt;0,L12&lt;&gt;0),DB(I12,K12,J12,L12),"")</f>
        <v>33300</v>
      </c>
    </row>
    <row r="13" spans="2:13" ht="30" customHeight="1">
      <c r="B13" s="4" t="s">
        <v>300</v>
      </c>
      <c r="C13" s="4" t="s">
        <v>301</v>
      </c>
      <c r="D13" s="12" t="s">
        <v>302</v>
      </c>
      <c r="E13" s="4" t="s">
        <v>303</v>
      </c>
      <c r="F13" s="8">
        <v>14</v>
      </c>
      <c r="G13" s="9" t="s">
        <v>305</v>
      </c>
      <c r="H13" s="10">
        <v>38146</v>
      </c>
      <c r="I13" s="28">
        <v>124000</v>
      </c>
      <c r="J13" s="31">
        <v>5</v>
      </c>
      <c r="K13" s="28">
        <v>20000</v>
      </c>
      <c r="L13" s="8">
        <v>2</v>
      </c>
      <c r="M13" s="30">
        <f>IF(AND(I13&lt;&gt;0,K13&lt;&gt;0,J13&lt;&gt;0,L13&lt;&gt;0),DB(I13,K13,J13,L13),"")</f>
        <v>26333.135999999999</v>
      </c>
    </row>
    <row r="14" spans="2:13" ht="30" customHeight="1">
      <c r="B14" s="4"/>
      <c r="C14" s="4"/>
      <c r="D14" s="4"/>
      <c r="E14" s="4"/>
      <c r="F14" s="8"/>
      <c r="G14" s="9"/>
      <c r="H14" s="10"/>
      <c r="I14" s="28"/>
      <c r="J14" s="31"/>
      <c r="K14" s="28"/>
      <c r="L14" s="8"/>
      <c r="M14" s="30" t="str">
        <f>IF(AND(I14&lt;&gt;0,K14&lt;&gt;0,J14&lt;&gt;0,L14&lt;&gt;0),DB(I14,K14,J14,L14),"")</f>
        <v/>
      </c>
    </row>
    <row r="16" spans="2:13" ht="30" customHeight="1">
      <c r="B16" s="381" t="s">
        <v>308</v>
      </c>
      <c r="C16" s="382"/>
      <c r="D16" s="382"/>
      <c r="E16" s="382"/>
      <c r="F16" s="382"/>
      <c r="G16" s="382"/>
      <c r="H16" s="382"/>
      <c r="I16" s="382"/>
      <c r="J16" s="382"/>
      <c r="K16" s="382"/>
      <c r="L16" s="382"/>
    </row>
    <row r="17" spans="2:12" ht="30" customHeight="1">
      <c r="B17" s="13" t="s">
        <v>283</v>
      </c>
      <c r="C17" s="14" t="s">
        <v>284</v>
      </c>
      <c r="D17" s="14" t="s">
        <v>285</v>
      </c>
      <c r="E17" s="14" t="s">
        <v>286</v>
      </c>
      <c r="F17" s="14" t="s">
        <v>287</v>
      </c>
      <c r="G17" s="14" t="s">
        <v>288</v>
      </c>
      <c r="H17" s="14" t="s">
        <v>289</v>
      </c>
      <c r="I17" s="14" t="s">
        <v>290</v>
      </c>
      <c r="J17" s="14" t="s">
        <v>291</v>
      </c>
      <c r="K17" s="14" t="s">
        <v>292</v>
      </c>
      <c r="L17" s="33" t="s">
        <v>309</v>
      </c>
    </row>
    <row r="18" spans="2:12" ht="30" customHeight="1">
      <c r="B18" s="15" t="s">
        <v>295</v>
      </c>
      <c r="C18" s="15" t="s">
        <v>296</v>
      </c>
      <c r="D18" s="15" t="s">
        <v>297</v>
      </c>
      <c r="E18" s="15" t="s">
        <v>310</v>
      </c>
      <c r="F18" s="16">
        <v>2</v>
      </c>
      <c r="G18" s="17" t="s">
        <v>299</v>
      </c>
      <c r="H18" s="18">
        <v>36931</v>
      </c>
      <c r="I18" s="34">
        <v>480000</v>
      </c>
      <c r="J18" s="16" t="s">
        <v>311</v>
      </c>
      <c r="K18" s="34">
        <v>100000</v>
      </c>
      <c r="L18" s="35">
        <f>IF(AND(I18&lt;&gt;0,K18&lt;&gt;0,J18&lt;&gt;0),SLN(I18,K18,J18),"")</f>
        <v>19000</v>
      </c>
    </row>
    <row r="19" spans="2:12" ht="30" customHeight="1">
      <c r="B19" s="19" t="s">
        <v>300</v>
      </c>
      <c r="C19" s="19" t="s">
        <v>301</v>
      </c>
      <c r="D19" s="19" t="s">
        <v>302</v>
      </c>
      <c r="E19" s="19" t="s">
        <v>312</v>
      </c>
      <c r="F19" s="20">
        <v>14</v>
      </c>
      <c r="G19" s="21" t="s">
        <v>305</v>
      </c>
      <c r="H19" s="22">
        <v>38146</v>
      </c>
      <c r="I19" s="36">
        <v>124000</v>
      </c>
      <c r="J19" s="20">
        <v>5</v>
      </c>
      <c r="K19" s="36">
        <v>20000</v>
      </c>
      <c r="L19" s="37">
        <f>IF(AND(I19&lt;&gt;0,K19&lt;&gt;0,J19&lt;&gt;0),SLN(I19,K19,J19),"")</f>
        <v>20800</v>
      </c>
    </row>
    <row r="20" spans="2:12" ht="30" customHeight="1">
      <c r="B20" s="23"/>
      <c r="C20" s="23"/>
      <c r="D20" s="23"/>
      <c r="E20" s="23"/>
      <c r="F20" s="24"/>
      <c r="G20" s="25"/>
      <c r="H20" s="26"/>
      <c r="I20" s="38"/>
      <c r="J20" s="24"/>
      <c r="K20" s="38"/>
      <c r="L20" s="37" t="str">
        <f>IF(AND(I20&lt;&gt;0,K20&lt;&gt;0,J20&lt;&gt;0),SLN(I20,K20,J20),"")</f>
        <v/>
      </c>
    </row>
  </sheetData>
  <mergeCells count="3">
    <mergeCell ref="B2:M2"/>
    <mergeCell ref="B10:M10"/>
    <mergeCell ref="B16:L16"/>
  </mergeCells>
  <phoneticPr fontId="105" type="noConversion"/>
  <printOptions horizontalCentered="1"/>
  <pageMargins left="0.4" right="0.4" top="0.4" bottom="0.4" header="0.3" footer="0.3"/>
  <pageSetup paperSize="9" fitToHeight="0" orientation="landscape"/>
  <headerFooter differentFirst="1">
    <oddFooter>&amp;CPage &amp;P of &amp;N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9" tint="-0.499984740745262"/>
    <pageSetUpPr fitToPage="1"/>
  </sheetPr>
  <dimension ref="A1:O49"/>
  <sheetViews>
    <sheetView showGridLines="0" zoomScale="108" zoomScaleNormal="108" workbookViewId="0">
      <selection activeCell="G49" sqref="G49"/>
    </sheetView>
  </sheetViews>
  <sheetFormatPr baseColWidth="10" defaultColWidth="9" defaultRowHeight="14"/>
  <cols>
    <col min="1" max="1" width="2.6640625" style="40" customWidth="1"/>
    <col min="2" max="2" width="19.5" style="41" customWidth="1"/>
    <col min="3" max="3" width="17.6640625" style="41" customWidth="1"/>
    <col min="4" max="9" width="11.1640625" style="41" customWidth="1"/>
    <col min="10" max="10" width="11.1640625" customWidth="1"/>
    <col min="11" max="15" width="11.1640625" style="41" customWidth="1"/>
    <col min="16" max="16384" width="9" style="41"/>
  </cols>
  <sheetData>
    <row r="1" spans="1:15" ht="16.5" customHeight="1">
      <c r="A1" s="40" t="s">
        <v>221</v>
      </c>
      <c r="B1" s="385">
        <v>2025</v>
      </c>
      <c r="C1" s="385"/>
      <c r="D1" s="383"/>
      <c r="E1" s="383"/>
      <c r="F1" s="383"/>
      <c r="G1" s="383"/>
      <c r="H1" s="383"/>
      <c r="I1" s="383"/>
      <c r="J1" s="383"/>
      <c r="K1" s="383"/>
      <c r="L1" s="383"/>
      <c r="M1" s="383"/>
      <c r="N1" s="383"/>
      <c r="O1" s="383" t="s">
        <v>222</v>
      </c>
    </row>
    <row r="2" spans="1:15" ht="17.25" customHeight="1">
      <c r="A2" s="40" t="s">
        <v>223</v>
      </c>
      <c r="B2" s="386"/>
      <c r="C2" s="386"/>
      <c r="D2" s="384"/>
      <c r="E2" s="384"/>
      <c r="F2" s="384"/>
      <c r="G2" s="384"/>
      <c r="H2" s="384"/>
      <c r="I2" s="384"/>
      <c r="J2" s="384"/>
      <c r="K2" s="384"/>
      <c r="L2" s="384"/>
      <c r="M2" s="384"/>
      <c r="N2" s="384"/>
      <c r="O2" s="384"/>
    </row>
    <row r="3" spans="1:15" ht="18.75" customHeight="1">
      <c r="B3" s="42"/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</row>
    <row r="4" spans="1:15" ht="16">
      <c r="A4" s="40" t="s">
        <v>224</v>
      </c>
      <c r="B4" s="44" t="s">
        <v>225</v>
      </c>
      <c r="D4" s="45"/>
      <c r="E4" s="45"/>
      <c r="F4" s="45"/>
      <c r="G4" s="45"/>
      <c r="H4" s="45"/>
      <c r="I4" s="45"/>
      <c r="O4" s="45"/>
    </row>
    <row r="5" spans="1:15" s="39" customFormat="1" ht="15">
      <c r="A5" s="46" t="s">
        <v>226</v>
      </c>
      <c r="B5" s="47" t="s">
        <v>227</v>
      </c>
      <c r="C5" s="48" t="s">
        <v>228</v>
      </c>
      <c r="D5" s="48" t="s">
        <v>229</v>
      </c>
      <c r="E5" s="48" t="s">
        <v>230</v>
      </c>
      <c r="F5" s="48" t="s">
        <v>231</v>
      </c>
      <c r="G5" s="48" t="s">
        <v>232</v>
      </c>
      <c r="H5" s="48" t="s">
        <v>233</v>
      </c>
      <c r="I5" s="48" t="s">
        <v>234</v>
      </c>
      <c r="J5" s="48" t="s">
        <v>235</v>
      </c>
      <c r="K5" s="48" t="s">
        <v>236</v>
      </c>
      <c r="L5" s="48" t="s">
        <v>237</v>
      </c>
      <c r="M5" s="48" t="s">
        <v>238</v>
      </c>
      <c r="N5" s="48" t="s">
        <v>239</v>
      </c>
      <c r="O5" s="48" t="s">
        <v>240</v>
      </c>
    </row>
    <row r="6" spans="1:15" ht="15">
      <c r="B6" s="49" t="s">
        <v>241</v>
      </c>
      <c r="C6" s="50">
        <f>现金流量表!D67</f>
        <v>0</v>
      </c>
      <c r="D6" s="50">
        <v>0</v>
      </c>
      <c r="E6" s="51">
        <v>0</v>
      </c>
      <c r="F6" s="51">
        <v>0</v>
      </c>
      <c r="G6" s="51">
        <v>0</v>
      </c>
      <c r="H6" s="51">
        <v>0</v>
      </c>
      <c r="I6" s="51">
        <v>0</v>
      </c>
      <c r="J6" s="51">
        <v>0</v>
      </c>
      <c r="K6" s="51">
        <v>0</v>
      </c>
      <c r="L6" s="51">
        <v>0</v>
      </c>
      <c r="M6" s="51">
        <v>0</v>
      </c>
      <c r="N6" s="51">
        <v>0</v>
      </c>
      <c r="O6" s="51">
        <v>0</v>
      </c>
    </row>
    <row r="7" spans="1:15" ht="15">
      <c r="B7" s="49" t="s">
        <v>27</v>
      </c>
      <c r="C7" s="50">
        <v>0</v>
      </c>
      <c r="D7" s="50">
        <v>0</v>
      </c>
      <c r="E7" s="51">
        <v>0</v>
      </c>
      <c r="F7" s="51">
        <v>0</v>
      </c>
      <c r="G7" s="51">
        <v>0</v>
      </c>
      <c r="H7" s="51">
        <v>0</v>
      </c>
      <c r="I7" s="51">
        <v>0</v>
      </c>
      <c r="J7" s="51">
        <v>0</v>
      </c>
      <c r="K7" s="51">
        <v>0</v>
      </c>
      <c r="L7" s="51">
        <v>0</v>
      </c>
      <c r="M7" s="51">
        <v>0</v>
      </c>
      <c r="N7" s="51">
        <v>0</v>
      </c>
      <c r="O7" s="51">
        <v>0</v>
      </c>
    </row>
    <row r="8" spans="1:15" ht="15">
      <c r="B8" s="49" t="s">
        <v>242</v>
      </c>
      <c r="C8" s="50">
        <v>0</v>
      </c>
      <c r="D8" s="50">
        <v>0</v>
      </c>
      <c r="E8" s="51">
        <v>0</v>
      </c>
      <c r="F8" s="51">
        <v>0</v>
      </c>
      <c r="G8" s="51">
        <v>0</v>
      </c>
      <c r="H8" s="51">
        <v>0</v>
      </c>
      <c r="I8" s="51">
        <v>0</v>
      </c>
      <c r="J8" s="51">
        <v>0</v>
      </c>
      <c r="K8" s="51">
        <v>0</v>
      </c>
      <c r="L8" s="51">
        <v>0</v>
      </c>
      <c r="M8" s="51">
        <v>0</v>
      </c>
      <c r="N8" s="51">
        <v>0</v>
      </c>
      <c r="O8" s="51">
        <v>0</v>
      </c>
    </row>
    <row r="9" spans="1:15" ht="15">
      <c r="B9" s="49" t="s">
        <v>243</v>
      </c>
      <c r="C9" s="50">
        <v>0</v>
      </c>
      <c r="D9" s="50">
        <v>0</v>
      </c>
      <c r="E9" s="51">
        <v>0</v>
      </c>
      <c r="F9" s="51">
        <v>0</v>
      </c>
      <c r="G9" s="51">
        <v>0</v>
      </c>
      <c r="H9" s="51">
        <v>0</v>
      </c>
      <c r="I9" s="51">
        <v>0</v>
      </c>
      <c r="J9" s="51">
        <v>0</v>
      </c>
      <c r="K9" s="51">
        <v>0</v>
      </c>
      <c r="L9" s="51">
        <v>0</v>
      </c>
      <c r="M9" s="51">
        <v>0</v>
      </c>
      <c r="N9" s="51">
        <v>0</v>
      </c>
      <c r="O9" s="51">
        <v>0</v>
      </c>
    </row>
    <row r="10" spans="1:15" ht="15">
      <c r="B10" s="49" t="s">
        <v>244</v>
      </c>
      <c r="C10" s="50">
        <v>0</v>
      </c>
      <c r="D10" s="50">
        <v>0</v>
      </c>
      <c r="E10" s="51">
        <v>0</v>
      </c>
      <c r="F10" s="51">
        <v>0</v>
      </c>
      <c r="G10" s="51">
        <v>0</v>
      </c>
      <c r="H10" s="51">
        <v>0</v>
      </c>
      <c r="I10" s="51">
        <v>0</v>
      </c>
      <c r="J10" s="51">
        <v>0</v>
      </c>
      <c r="K10" s="51">
        <v>0</v>
      </c>
      <c r="L10" s="51">
        <v>0</v>
      </c>
      <c r="M10" s="51">
        <v>0</v>
      </c>
      <c r="N10" s="51">
        <v>0</v>
      </c>
      <c r="O10" s="51">
        <v>0</v>
      </c>
    </row>
    <row r="11" spans="1:15" ht="15">
      <c r="B11" s="52" t="s">
        <v>88</v>
      </c>
      <c r="C11" s="53">
        <v>0</v>
      </c>
      <c r="D11" s="53">
        <v>0</v>
      </c>
      <c r="E11" s="54">
        <v>0</v>
      </c>
      <c r="F11" s="54">
        <v>0</v>
      </c>
      <c r="G11" s="54">
        <v>0</v>
      </c>
      <c r="H11" s="54">
        <v>0</v>
      </c>
      <c r="I11" s="54">
        <v>0</v>
      </c>
      <c r="J11" s="54">
        <v>0</v>
      </c>
      <c r="K11" s="54">
        <v>0</v>
      </c>
      <c r="L11" s="54">
        <v>0</v>
      </c>
      <c r="M11" s="54">
        <v>0</v>
      </c>
      <c r="N11" s="54">
        <v>0</v>
      </c>
      <c r="O11" s="54">
        <v>0</v>
      </c>
    </row>
    <row r="12" spans="1:15" s="39" customFormat="1" ht="15">
      <c r="A12" s="46"/>
      <c r="B12" s="55" t="s">
        <v>245</v>
      </c>
      <c r="C12" s="56">
        <f>SUBTOTAL(109,流动资产[上一年度])</f>
        <v>0</v>
      </c>
      <c r="D12" s="56">
        <f>SUBTOTAL(109,流动资产[1月])</f>
        <v>0</v>
      </c>
      <c r="E12" s="56">
        <f>SUBTOTAL(109,流动资产[2月])</f>
        <v>0</v>
      </c>
      <c r="F12" s="56">
        <f>SUBTOTAL(109,流动资产[3月])</f>
        <v>0</v>
      </c>
      <c r="G12" s="56">
        <f>SUBTOTAL(109,流动资产[4月])</f>
        <v>0</v>
      </c>
      <c r="H12" s="56">
        <f>SUBTOTAL(109,流动资产[5月])</f>
        <v>0</v>
      </c>
      <c r="I12" s="56">
        <f>SUBTOTAL(109,流动资产[6月])</f>
        <v>0</v>
      </c>
      <c r="J12" s="56">
        <f>SUBTOTAL(109,流动资产[7月])</f>
        <v>0</v>
      </c>
      <c r="K12" s="56">
        <f>SUBTOTAL(109,流动资产[8月])</f>
        <v>0</v>
      </c>
      <c r="L12" s="56">
        <f>SUBTOTAL(109,流动资产[9月])</f>
        <v>0</v>
      </c>
      <c r="M12" s="56">
        <f>SUBTOTAL(109,流动资产[10月])</f>
        <v>0</v>
      </c>
      <c r="N12" s="56">
        <f>SUBTOTAL(109,流动资产[11月])</f>
        <v>0</v>
      </c>
      <c r="O12" s="56">
        <f>SUBTOTAL(109,流动资产[12月])</f>
        <v>0</v>
      </c>
    </row>
    <row r="13" spans="1:15">
      <c r="J13" s="41"/>
    </row>
    <row r="14" spans="1:15" s="39" customFormat="1" ht="15">
      <c r="A14" s="46" t="s">
        <v>246</v>
      </c>
      <c r="B14" s="47" t="s">
        <v>247</v>
      </c>
      <c r="C14" s="48" t="s">
        <v>228</v>
      </c>
      <c r="D14" s="48" t="s">
        <v>229</v>
      </c>
      <c r="E14" s="48" t="s">
        <v>230</v>
      </c>
      <c r="F14" s="48" t="s">
        <v>231</v>
      </c>
      <c r="G14" s="48" t="s">
        <v>232</v>
      </c>
      <c r="H14" s="48" t="s">
        <v>233</v>
      </c>
      <c r="I14" s="48" t="s">
        <v>234</v>
      </c>
      <c r="J14" s="48" t="s">
        <v>235</v>
      </c>
      <c r="K14" s="48" t="s">
        <v>236</v>
      </c>
      <c r="L14" s="48" t="s">
        <v>237</v>
      </c>
      <c r="M14" s="48" t="s">
        <v>238</v>
      </c>
      <c r="N14" s="48" t="s">
        <v>239</v>
      </c>
      <c r="O14" s="48" t="s">
        <v>240</v>
      </c>
    </row>
    <row r="15" spans="1:15" ht="15">
      <c r="B15" s="49" t="s">
        <v>248</v>
      </c>
      <c r="C15" s="50">
        <v>0</v>
      </c>
      <c r="D15" s="50">
        <v>0</v>
      </c>
      <c r="E15" s="51">
        <v>0</v>
      </c>
      <c r="F15" s="51">
        <v>0</v>
      </c>
      <c r="G15" s="51">
        <v>0</v>
      </c>
      <c r="H15" s="51">
        <v>0</v>
      </c>
      <c r="I15" s="51">
        <v>0</v>
      </c>
      <c r="J15" s="51">
        <v>0</v>
      </c>
      <c r="K15" s="51">
        <v>0</v>
      </c>
      <c r="L15" s="51">
        <v>0</v>
      </c>
      <c r="M15" s="51">
        <v>0</v>
      </c>
      <c r="N15" s="51">
        <v>0</v>
      </c>
      <c r="O15" s="51">
        <v>0</v>
      </c>
    </row>
    <row r="16" spans="1:15" ht="15">
      <c r="B16" s="49" t="s">
        <v>249</v>
      </c>
      <c r="C16" s="50">
        <v>0</v>
      </c>
      <c r="D16" s="50">
        <v>0</v>
      </c>
      <c r="E16" s="51">
        <v>0</v>
      </c>
      <c r="F16" s="51">
        <v>0</v>
      </c>
      <c r="G16" s="51">
        <v>0</v>
      </c>
      <c r="H16" s="51">
        <v>0</v>
      </c>
      <c r="I16" s="51">
        <v>0</v>
      </c>
      <c r="J16" s="51">
        <v>0</v>
      </c>
      <c r="K16" s="51">
        <v>0</v>
      </c>
      <c r="L16" s="51">
        <v>0</v>
      </c>
      <c r="M16" s="51">
        <v>0</v>
      </c>
      <c r="N16" s="51">
        <v>0</v>
      </c>
      <c r="O16" s="51">
        <v>0</v>
      </c>
    </row>
    <row r="17" spans="1:15" ht="15">
      <c r="B17" s="49" t="s">
        <v>250</v>
      </c>
      <c r="C17" s="50">
        <v>0</v>
      </c>
      <c r="D17" s="50">
        <v>0</v>
      </c>
      <c r="E17" s="51">
        <v>0</v>
      </c>
      <c r="F17" s="51">
        <v>0</v>
      </c>
      <c r="G17" s="51">
        <v>0</v>
      </c>
      <c r="H17" s="51">
        <v>0</v>
      </c>
      <c r="I17" s="51">
        <v>0</v>
      </c>
      <c r="J17" s="51">
        <v>0</v>
      </c>
      <c r="K17" s="51">
        <v>0</v>
      </c>
      <c r="L17" s="51">
        <v>0</v>
      </c>
      <c r="M17" s="51">
        <v>0</v>
      </c>
      <c r="N17" s="51">
        <v>0</v>
      </c>
      <c r="O17" s="51">
        <v>0</v>
      </c>
    </row>
    <row r="18" spans="1:15" ht="15">
      <c r="B18" s="52" t="s">
        <v>251</v>
      </c>
      <c r="C18" s="53">
        <v>0</v>
      </c>
      <c r="D18" s="53">
        <v>0</v>
      </c>
      <c r="E18" s="54">
        <v>0</v>
      </c>
      <c r="F18" s="54">
        <v>0</v>
      </c>
      <c r="G18" s="54">
        <v>0</v>
      </c>
      <c r="H18" s="54">
        <v>0</v>
      </c>
      <c r="I18" s="54">
        <v>0</v>
      </c>
      <c r="J18" s="54">
        <v>0</v>
      </c>
      <c r="K18" s="54">
        <v>0</v>
      </c>
      <c r="L18" s="54">
        <v>0</v>
      </c>
      <c r="M18" s="54">
        <v>0</v>
      </c>
      <c r="N18" s="54">
        <v>0</v>
      </c>
      <c r="O18" s="54">
        <v>0</v>
      </c>
    </row>
    <row r="19" spans="1:15" s="39" customFormat="1" ht="15">
      <c r="A19" s="46"/>
      <c r="B19" s="55" t="s">
        <v>252</v>
      </c>
      <c r="C19" s="56">
        <f>SUBTOTAL(109,固定资产[上一年度])</f>
        <v>0</v>
      </c>
      <c r="D19" s="56">
        <f>SUBTOTAL(109,固定资产[1月])</f>
        <v>0</v>
      </c>
      <c r="E19" s="56">
        <f>SUBTOTAL(109,固定资产[2月])</f>
        <v>0</v>
      </c>
      <c r="F19" s="56">
        <f>SUBTOTAL(109,固定资产[3月])</f>
        <v>0</v>
      </c>
      <c r="G19" s="56">
        <f>SUBTOTAL(109,固定资产[4月])</f>
        <v>0</v>
      </c>
      <c r="H19" s="56">
        <f>SUBTOTAL(109,固定资产[5月])</f>
        <v>0</v>
      </c>
      <c r="I19" s="56">
        <f>SUBTOTAL(109,固定资产[6月])</f>
        <v>0</v>
      </c>
      <c r="J19" s="56">
        <f>SUBTOTAL(109,固定资产[7月])</f>
        <v>0</v>
      </c>
      <c r="K19" s="56">
        <f>SUBTOTAL(109,固定资产[8月])</f>
        <v>0</v>
      </c>
      <c r="L19" s="56">
        <f>SUBTOTAL(109,固定资产[9月])</f>
        <v>0</v>
      </c>
      <c r="M19" s="56">
        <f>SUBTOTAL(109,固定资产[10月])</f>
        <v>0</v>
      </c>
      <c r="N19" s="56">
        <f>SUBTOTAL(109,固定资产[11月])</f>
        <v>0</v>
      </c>
      <c r="O19" s="56">
        <f>SUBTOTAL(109,固定资产[12月])</f>
        <v>0</v>
      </c>
    </row>
    <row r="20" spans="1:15">
      <c r="J20" s="41"/>
    </row>
    <row r="21" spans="1:15" s="39" customFormat="1" ht="15">
      <c r="A21" s="46" t="s">
        <v>253</v>
      </c>
      <c r="B21" s="47" t="s">
        <v>254</v>
      </c>
      <c r="C21" s="48" t="s">
        <v>228</v>
      </c>
      <c r="D21" s="48" t="s">
        <v>229</v>
      </c>
      <c r="E21" s="48" t="s">
        <v>230</v>
      </c>
      <c r="F21" s="48" t="s">
        <v>231</v>
      </c>
      <c r="G21" s="48" t="s">
        <v>232</v>
      </c>
      <c r="H21" s="48" t="s">
        <v>233</v>
      </c>
      <c r="I21" s="48" t="s">
        <v>234</v>
      </c>
      <c r="J21" s="48" t="s">
        <v>235</v>
      </c>
      <c r="K21" s="48" t="s">
        <v>236</v>
      </c>
      <c r="L21" s="48" t="s">
        <v>237</v>
      </c>
      <c r="M21" s="48" t="s">
        <v>238</v>
      </c>
      <c r="N21" s="48" t="s">
        <v>239</v>
      </c>
      <c r="O21" s="48" t="s">
        <v>240</v>
      </c>
    </row>
    <row r="22" spans="1:15" ht="15">
      <c r="B22" s="52" t="s">
        <v>255</v>
      </c>
      <c r="C22" s="53">
        <v>0</v>
      </c>
      <c r="D22" s="53">
        <v>0</v>
      </c>
      <c r="E22" s="54">
        <v>0</v>
      </c>
      <c r="F22" s="54">
        <v>0</v>
      </c>
      <c r="G22" s="54">
        <v>0</v>
      </c>
      <c r="H22" s="54">
        <v>0</v>
      </c>
      <c r="I22" s="54">
        <v>0</v>
      </c>
      <c r="J22" s="54">
        <v>0</v>
      </c>
      <c r="K22" s="54">
        <v>0</v>
      </c>
      <c r="L22" s="54">
        <v>0</v>
      </c>
      <c r="M22" s="54">
        <v>0</v>
      </c>
      <c r="N22" s="54">
        <v>0</v>
      </c>
      <c r="O22" s="54">
        <v>0</v>
      </c>
    </row>
    <row r="23" spans="1:15" s="39" customFormat="1" ht="15">
      <c r="A23" s="46"/>
      <c r="B23" s="55" t="s">
        <v>256</v>
      </c>
      <c r="C23" s="56">
        <f>SUBTOTAL(109,其他资产[上一年度])</f>
        <v>0</v>
      </c>
      <c r="D23" s="56">
        <f>SUBTOTAL(109,其他资产[1月])</f>
        <v>0</v>
      </c>
      <c r="E23" s="56">
        <f>SUBTOTAL(109,其他资产[2月])</f>
        <v>0</v>
      </c>
      <c r="F23" s="56">
        <f>SUBTOTAL(109,其他资产[3月])</f>
        <v>0</v>
      </c>
      <c r="G23" s="56">
        <f>SUBTOTAL(109,其他资产[4月])</f>
        <v>0</v>
      </c>
      <c r="H23" s="56">
        <f>SUBTOTAL(109,其他资产[5月])</f>
        <v>0</v>
      </c>
      <c r="I23" s="56">
        <f>SUBTOTAL(109,其他资产[6月])</f>
        <v>0</v>
      </c>
      <c r="J23" s="56">
        <f>SUBTOTAL(109,其他资产[7月])</f>
        <v>0</v>
      </c>
      <c r="K23" s="56">
        <f>SUBTOTAL(109,其他资产[8月])</f>
        <v>0</v>
      </c>
      <c r="L23" s="56">
        <f>SUBTOTAL(109,其他资产[9月])</f>
        <v>0</v>
      </c>
      <c r="M23" s="56">
        <f>SUBTOTAL(109,其他资产[10月])</f>
        <v>0</v>
      </c>
      <c r="N23" s="56">
        <f>SUBTOTAL(109,其他资产[11月])</f>
        <v>0</v>
      </c>
      <c r="O23" s="56">
        <f>SUBTOTAL(109,其他资产[12月])</f>
        <v>0</v>
      </c>
    </row>
    <row r="24" spans="1:15">
      <c r="B24" s="57"/>
      <c r="D24" s="45"/>
      <c r="E24" s="45"/>
      <c r="F24" s="45"/>
      <c r="G24" s="45"/>
      <c r="H24" s="45"/>
      <c r="I24" s="45"/>
      <c r="J24" s="45"/>
      <c r="K24" s="45"/>
      <c r="L24" s="45"/>
      <c r="M24" s="45"/>
      <c r="N24" s="45"/>
      <c r="O24" s="45"/>
    </row>
    <row r="25" spans="1:15" ht="18">
      <c r="A25" s="40" t="s">
        <v>257</v>
      </c>
      <c r="B25" s="58" t="s">
        <v>258</v>
      </c>
      <c r="C25" s="59">
        <f>其他资产[[#Totals],[上一年度]]+固定资产[[#Totals],[上一年度]]+流动资产[[#Totals],[上一年度]]</f>
        <v>0</v>
      </c>
      <c r="D25" s="59">
        <f>其他资产[[#Totals],[1月]]+固定资产[[#Totals],[1月]]+流动资产[[#Totals],[1月]]</f>
        <v>0</v>
      </c>
      <c r="E25" s="59">
        <f>其他资产[[#Totals],[2月]]+固定资产[[#Totals],[2月]]+流动资产[[#Totals],[2月]]</f>
        <v>0</v>
      </c>
      <c r="F25" s="59">
        <f>其他资产[[#Totals],[3月]]+固定资产[[#Totals],[3月]]+流动资产[[#Totals],[3月]]</f>
        <v>0</v>
      </c>
      <c r="G25" s="59">
        <f>其他资产[[#Totals],[4月]]+固定资产[[#Totals],[4月]]+流动资产[[#Totals],[4月]]</f>
        <v>0</v>
      </c>
      <c r="H25" s="59">
        <f>其他资产[[#Totals],[5月]]+固定资产[[#Totals],[5月]]+流动资产[[#Totals],[5月]]</f>
        <v>0</v>
      </c>
      <c r="I25" s="59">
        <f>其他资产[[#Totals],[6月]]+固定资产[[#Totals],[6月]]+流动资产[[#Totals],[6月]]</f>
        <v>0</v>
      </c>
      <c r="J25" s="59">
        <f>其他资产[[#Totals],[7月]]+固定资产[[#Totals],[7月]]+流动资产[[#Totals],[7月]]</f>
        <v>0</v>
      </c>
      <c r="K25" s="59">
        <f>其他资产[[#Totals],[8月]]+固定资产[[#Totals],[8月]]+流动资产[[#Totals],[8月]]</f>
        <v>0</v>
      </c>
      <c r="L25" s="59">
        <f>其他资产[[#Totals],[9月]]+固定资产[[#Totals],[9月]]+流动资产[[#Totals],[9月]]</f>
        <v>0</v>
      </c>
      <c r="M25" s="59">
        <f>其他资产[[#Totals],[10月]]+固定资产[[#Totals],[10月]]+流动资产[[#Totals],[10月]]</f>
        <v>0</v>
      </c>
      <c r="N25" s="59">
        <f>其他资产[[#Totals],[11月]]+固定资产[[#Totals],[11月]]+流动资产[[#Totals],[11月]]</f>
        <v>0</v>
      </c>
      <c r="O25" s="59">
        <f>其他资产[[#Totals],[12月]]+固定资产[[#Totals],[12月]]+流动资产[[#Totals],[12月]]</f>
        <v>0</v>
      </c>
    </row>
    <row r="26" spans="1:15" ht="18.75" customHeight="1">
      <c r="B26" s="60"/>
      <c r="C26" s="61"/>
      <c r="D26" s="61"/>
      <c r="E26" s="61"/>
      <c r="F26" s="61"/>
      <c r="G26" s="61"/>
      <c r="H26" s="61"/>
      <c r="I26" s="61"/>
      <c r="J26" s="61"/>
      <c r="K26" s="61"/>
      <c r="L26" s="61"/>
      <c r="M26" s="61"/>
      <c r="N26" s="61"/>
      <c r="O26" s="61"/>
    </row>
    <row r="27" spans="1:15" ht="16">
      <c r="A27" s="40" t="s">
        <v>259</v>
      </c>
      <c r="B27" s="44" t="s">
        <v>260</v>
      </c>
      <c r="D27" s="45"/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45"/>
    </row>
    <row r="28" spans="1:15" s="39" customFormat="1" ht="15">
      <c r="A28" s="46" t="s">
        <v>261</v>
      </c>
      <c r="B28" s="62" t="s">
        <v>262</v>
      </c>
      <c r="C28" s="63" t="s">
        <v>228</v>
      </c>
      <c r="D28" s="63" t="s">
        <v>229</v>
      </c>
      <c r="E28" s="63" t="s">
        <v>230</v>
      </c>
      <c r="F28" s="63" t="s">
        <v>231</v>
      </c>
      <c r="G28" s="63" t="s">
        <v>232</v>
      </c>
      <c r="H28" s="63" t="s">
        <v>233</v>
      </c>
      <c r="I28" s="63" t="s">
        <v>234</v>
      </c>
      <c r="J28" s="63" t="s">
        <v>235</v>
      </c>
      <c r="K28" s="63" t="s">
        <v>236</v>
      </c>
      <c r="L28" s="63" t="s">
        <v>237</v>
      </c>
      <c r="M28" s="63" t="s">
        <v>238</v>
      </c>
      <c r="N28" s="63" t="s">
        <v>239</v>
      </c>
      <c r="O28" s="63" t="s">
        <v>240</v>
      </c>
    </row>
    <row r="29" spans="1:15" ht="15">
      <c r="B29" s="64" t="s">
        <v>263</v>
      </c>
      <c r="C29" s="65">
        <v>0</v>
      </c>
      <c r="D29" s="65">
        <v>0</v>
      </c>
      <c r="E29" s="66">
        <v>0</v>
      </c>
      <c r="F29" s="66">
        <v>0</v>
      </c>
      <c r="G29" s="66">
        <v>0</v>
      </c>
      <c r="H29" s="66">
        <v>0</v>
      </c>
      <c r="I29" s="66">
        <v>0</v>
      </c>
      <c r="J29" s="66">
        <v>0</v>
      </c>
      <c r="K29" s="66">
        <v>0</v>
      </c>
      <c r="L29" s="66">
        <v>0</v>
      </c>
      <c r="M29" s="66">
        <v>0</v>
      </c>
      <c r="N29" s="66">
        <v>0</v>
      </c>
      <c r="O29" s="66">
        <v>0</v>
      </c>
    </row>
    <row r="30" spans="1:15" ht="15">
      <c r="B30" s="64" t="s">
        <v>264</v>
      </c>
      <c r="C30" s="65">
        <v>0</v>
      </c>
      <c r="D30" s="65">
        <v>0</v>
      </c>
      <c r="E30" s="66">
        <v>0</v>
      </c>
      <c r="F30" s="66">
        <v>0</v>
      </c>
      <c r="G30" s="66">
        <v>0</v>
      </c>
      <c r="H30" s="66">
        <v>0</v>
      </c>
      <c r="I30" s="66">
        <v>0</v>
      </c>
      <c r="J30" s="66">
        <v>0</v>
      </c>
      <c r="K30" s="66">
        <v>0</v>
      </c>
      <c r="L30" s="66">
        <v>0</v>
      </c>
      <c r="M30" s="66">
        <v>0</v>
      </c>
      <c r="N30" s="66">
        <v>0</v>
      </c>
      <c r="O30" s="66">
        <v>0</v>
      </c>
    </row>
    <row r="31" spans="1:15" ht="15">
      <c r="B31" s="64" t="s">
        <v>265</v>
      </c>
      <c r="C31" s="65">
        <v>0</v>
      </c>
      <c r="D31" s="65">
        <v>0</v>
      </c>
      <c r="E31" s="66">
        <v>0</v>
      </c>
      <c r="F31" s="66">
        <v>0</v>
      </c>
      <c r="G31" s="66">
        <v>0</v>
      </c>
      <c r="H31" s="66">
        <v>0</v>
      </c>
      <c r="I31" s="66">
        <v>0</v>
      </c>
      <c r="J31" s="66">
        <v>0</v>
      </c>
      <c r="K31" s="66">
        <v>0</v>
      </c>
      <c r="L31" s="66">
        <v>0</v>
      </c>
      <c r="M31" s="66">
        <v>0</v>
      </c>
      <c r="N31" s="66">
        <v>0</v>
      </c>
      <c r="O31" s="66">
        <v>0</v>
      </c>
    </row>
    <row r="32" spans="1:15" ht="15">
      <c r="B32" s="64" t="s">
        <v>266</v>
      </c>
      <c r="C32" s="65">
        <v>0</v>
      </c>
      <c r="D32" s="65">
        <v>0</v>
      </c>
      <c r="E32" s="66">
        <v>0</v>
      </c>
      <c r="F32" s="66">
        <v>0</v>
      </c>
      <c r="G32" s="66">
        <v>0</v>
      </c>
      <c r="H32" s="66">
        <v>0</v>
      </c>
      <c r="I32" s="66">
        <v>0</v>
      </c>
      <c r="J32" s="66">
        <v>0</v>
      </c>
      <c r="K32" s="66">
        <v>0</v>
      </c>
      <c r="L32" s="66">
        <v>0</v>
      </c>
      <c r="M32" s="66">
        <v>0</v>
      </c>
      <c r="N32" s="66">
        <v>0</v>
      </c>
      <c r="O32" s="66">
        <v>0</v>
      </c>
    </row>
    <row r="33" spans="1:15" ht="15">
      <c r="B33" s="64" t="s">
        <v>267</v>
      </c>
      <c r="C33" s="65">
        <v>0</v>
      </c>
      <c r="D33" s="65">
        <v>0</v>
      </c>
      <c r="E33" s="66">
        <v>0</v>
      </c>
      <c r="F33" s="66">
        <v>0</v>
      </c>
      <c r="G33" s="66">
        <v>0</v>
      </c>
      <c r="H33" s="66">
        <v>0</v>
      </c>
      <c r="I33" s="66">
        <v>0</v>
      </c>
      <c r="J33" s="66">
        <v>0</v>
      </c>
      <c r="K33" s="66">
        <v>0</v>
      </c>
      <c r="L33" s="66">
        <v>0</v>
      </c>
      <c r="M33" s="66">
        <v>0</v>
      </c>
      <c r="N33" s="66">
        <v>0</v>
      </c>
      <c r="O33" s="66">
        <v>0</v>
      </c>
    </row>
    <row r="34" spans="1:15" ht="15">
      <c r="B34" s="67" t="s">
        <v>88</v>
      </c>
      <c r="C34" s="68">
        <v>0</v>
      </c>
      <c r="D34" s="68">
        <v>0</v>
      </c>
      <c r="E34" s="69">
        <v>0</v>
      </c>
      <c r="F34" s="69">
        <v>0</v>
      </c>
      <c r="G34" s="69">
        <v>0</v>
      </c>
      <c r="H34" s="69">
        <v>0</v>
      </c>
      <c r="I34" s="69">
        <v>0</v>
      </c>
      <c r="J34" s="69">
        <v>0</v>
      </c>
      <c r="K34" s="69">
        <v>0</v>
      </c>
      <c r="L34" s="69">
        <v>0</v>
      </c>
      <c r="M34" s="69">
        <v>0</v>
      </c>
      <c r="N34" s="69">
        <v>0</v>
      </c>
      <c r="O34" s="69">
        <v>0</v>
      </c>
    </row>
    <row r="35" spans="1:15" s="39" customFormat="1" ht="15">
      <c r="A35" s="46"/>
      <c r="B35" s="70" t="s">
        <v>268</v>
      </c>
      <c r="C35" s="71">
        <f>SUBTOTAL(109,流动负债[上一年度])</f>
        <v>0</v>
      </c>
      <c r="D35" s="71">
        <f>SUBTOTAL(109,流动负债[1月])</f>
        <v>0</v>
      </c>
      <c r="E35" s="71">
        <f>SUBTOTAL(109,流动负债[2月])</f>
        <v>0</v>
      </c>
      <c r="F35" s="71">
        <f>SUBTOTAL(109,流动负债[3月])</f>
        <v>0</v>
      </c>
      <c r="G35" s="71">
        <f>SUBTOTAL(109,流动负债[4月])</f>
        <v>0</v>
      </c>
      <c r="H35" s="71">
        <f>SUBTOTAL(109,流动负债[5月])</f>
        <v>0</v>
      </c>
      <c r="I35" s="71">
        <f>SUBTOTAL(109,流动负债[6月])</f>
        <v>0</v>
      </c>
      <c r="J35" s="71">
        <f>SUBTOTAL(109,流动负债[7月])</f>
        <v>0</v>
      </c>
      <c r="K35" s="71">
        <f>SUBTOTAL(109,流动负债[8月])</f>
        <v>0</v>
      </c>
      <c r="L35" s="71">
        <f>SUBTOTAL(109,流动负债[9月])</f>
        <v>0</v>
      </c>
      <c r="M35" s="71">
        <f>SUBTOTAL(109,流动负债[10月])</f>
        <v>0</v>
      </c>
      <c r="N35" s="71">
        <f>SUBTOTAL(109,流动负债[11月])</f>
        <v>0</v>
      </c>
      <c r="O35" s="71">
        <f>SUBTOTAL(109,流动负债[12月])</f>
        <v>0</v>
      </c>
    </row>
    <row r="36" spans="1:15">
      <c r="J36" s="41"/>
    </row>
    <row r="37" spans="1:15" s="39" customFormat="1" ht="15">
      <c r="A37" s="46" t="s">
        <v>269</v>
      </c>
      <c r="B37" s="62" t="s">
        <v>270</v>
      </c>
      <c r="C37" s="63" t="s">
        <v>228</v>
      </c>
      <c r="D37" s="63" t="s">
        <v>229</v>
      </c>
      <c r="E37" s="63" t="s">
        <v>230</v>
      </c>
      <c r="F37" s="63" t="s">
        <v>231</v>
      </c>
      <c r="G37" s="63" t="s">
        <v>232</v>
      </c>
      <c r="H37" s="63" t="s">
        <v>233</v>
      </c>
      <c r="I37" s="63" t="s">
        <v>234</v>
      </c>
      <c r="J37" s="63" t="s">
        <v>235</v>
      </c>
      <c r="K37" s="63" t="s">
        <v>236</v>
      </c>
      <c r="L37" s="63" t="s">
        <v>237</v>
      </c>
      <c r="M37" s="63" t="s">
        <v>238</v>
      </c>
      <c r="N37" s="63" t="s">
        <v>239</v>
      </c>
      <c r="O37" s="63" t="s">
        <v>240</v>
      </c>
    </row>
    <row r="38" spans="1:15" ht="15">
      <c r="B38" s="67" t="s">
        <v>271</v>
      </c>
      <c r="C38" s="68">
        <v>0</v>
      </c>
      <c r="D38" s="68">
        <v>0</v>
      </c>
      <c r="E38" s="69">
        <v>0</v>
      </c>
      <c r="F38" s="69">
        <v>0</v>
      </c>
      <c r="G38" s="69">
        <v>0</v>
      </c>
      <c r="H38" s="69">
        <v>0</v>
      </c>
      <c r="I38" s="69">
        <v>0</v>
      </c>
      <c r="J38" s="69">
        <v>0</v>
      </c>
      <c r="K38" s="69">
        <v>0</v>
      </c>
      <c r="L38" s="69">
        <v>0</v>
      </c>
      <c r="M38" s="69">
        <v>0</v>
      </c>
      <c r="N38" s="69">
        <v>0</v>
      </c>
      <c r="O38" s="69">
        <v>0</v>
      </c>
    </row>
    <row r="39" spans="1:15" s="39" customFormat="1" ht="15">
      <c r="A39" s="46"/>
      <c r="B39" s="70" t="s">
        <v>272</v>
      </c>
      <c r="C39" s="71">
        <f>SUBTOTAL(109,长期负债[上一年度])</f>
        <v>0</v>
      </c>
      <c r="D39" s="71">
        <f>SUBTOTAL(109,长期负债[1月])</f>
        <v>0</v>
      </c>
      <c r="E39" s="71">
        <f>SUBTOTAL(109,长期负债[2月])</f>
        <v>0</v>
      </c>
      <c r="F39" s="71">
        <f>SUBTOTAL(109,长期负债[3月])</f>
        <v>0</v>
      </c>
      <c r="G39" s="71">
        <f>SUBTOTAL(109,长期负债[4月])</f>
        <v>0</v>
      </c>
      <c r="H39" s="71">
        <f>SUBTOTAL(109,长期负债[5月])</f>
        <v>0</v>
      </c>
      <c r="I39" s="71">
        <f>SUBTOTAL(109,长期负债[6月])</f>
        <v>0</v>
      </c>
      <c r="J39" s="71">
        <f>SUBTOTAL(109,长期负债[7月])</f>
        <v>0</v>
      </c>
      <c r="K39" s="71">
        <f>SUBTOTAL(109,长期负债[8月])</f>
        <v>0</v>
      </c>
      <c r="L39" s="71">
        <f>SUBTOTAL(109,长期负债[9月])</f>
        <v>0</v>
      </c>
      <c r="M39" s="71">
        <f>SUBTOTAL(109,长期负债[10月])</f>
        <v>0</v>
      </c>
      <c r="N39" s="71">
        <f>SUBTOTAL(109,长期负债[11月])</f>
        <v>0</v>
      </c>
      <c r="O39" s="71">
        <f>SUBTOTAL(109,长期负债[12月])</f>
        <v>0</v>
      </c>
    </row>
    <row r="40" spans="1:15">
      <c r="J40" s="41"/>
    </row>
    <row r="41" spans="1:15" s="39" customFormat="1" ht="15">
      <c r="A41" s="46" t="s">
        <v>273</v>
      </c>
      <c r="B41" s="62" t="s">
        <v>274</v>
      </c>
      <c r="C41" s="63" t="s">
        <v>228</v>
      </c>
      <c r="D41" s="63" t="s">
        <v>229</v>
      </c>
      <c r="E41" s="63" t="s">
        <v>230</v>
      </c>
      <c r="F41" s="63" t="s">
        <v>231</v>
      </c>
      <c r="G41" s="63" t="s">
        <v>232</v>
      </c>
      <c r="H41" s="63" t="s">
        <v>233</v>
      </c>
      <c r="I41" s="63" t="s">
        <v>234</v>
      </c>
      <c r="J41" s="63" t="s">
        <v>235</v>
      </c>
      <c r="K41" s="63" t="s">
        <v>236</v>
      </c>
      <c r="L41" s="63" t="s">
        <v>237</v>
      </c>
      <c r="M41" s="63" t="s">
        <v>238</v>
      </c>
      <c r="N41" s="63" t="s">
        <v>239</v>
      </c>
      <c r="O41" s="63" t="s">
        <v>240</v>
      </c>
    </row>
    <row r="42" spans="1:15" ht="15">
      <c r="B42" s="64" t="s">
        <v>275</v>
      </c>
      <c r="C42" s="65">
        <v>0</v>
      </c>
      <c r="D42" s="65">
        <v>0</v>
      </c>
      <c r="E42" s="66">
        <v>0</v>
      </c>
      <c r="F42" s="66">
        <v>0</v>
      </c>
      <c r="G42" s="66">
        <v>0</v>
      </c>
      <c r="H42" s="66">
        <v>0</v>
      </c>
      <c r="I42" s="66">
        <v>0</v>
      </c>
      <c r="J42" s="66">
        <v>0</v>
      </c>
      <c r="K42" s="66">
        <v>0</v>
      </c>
      <c r="L42" s="66">
        <v>0</v>
      </c>
      <c r="M42" s="66">
        <v>0</v>
      </c>
      <c r="N42" s="66">
        <v>0</v>
      </c>
      <c r="O42" s="66">
        <v>0</v>
      </c>
    </row>
    <row r="43" spans="1:15" ht="15">
      <c r="B43" s="67" t="s">
        <v>276</v>
      </c>
      <c r="C43" s="68">
        <v>0</v>
      </c>
      <c r="D43" s="68">
        <v>0</v>
      </c>
      <c r="E43" s="69">
        <v>0</v>
      </c>
      <c r="F43" s="69">
        <v>0</v>
      </c>
      <c r="G43" s="69">
        <v>0</v>
      </c>
      <c r="H43" s="69">
        <v>0</v>
      </c>
      <c r="I43" s="69">
        <v>0</v>
      </c>
      <c r="J43" s="69">
        <v>0</v>
      </c>
      <c r="K43" s="69">
        <v>0</v>
      </c>
      <c r="L43" s="69">
        <v>0</v>
      </c>
      <c r="M43" s="69">
        <v>0</v>
      </c>
      <c r="N43" s="69">
        <v>0</v>
      </c>
      <c r="O43" s="69">
        <v>0</v>
      </c>
    </row>
    <row r="44" spans="1:15" s="39" customFormat="1" ht="15">
      <c r="A44" s="46"/>
      <c r="B44" s="70" t="s">
        <v>277</v>
      </c>
      <c r="C44" s="71">
        <f>SUBTOTAL(109,所有者权益[上一年度])</f>
        <v>0</v>
      </c>
      <c r="D44" s="71">
        <f>SUBTOTAL(109,所有者权益[1月])</f>
        <v>0</v>
      </c>
      <c r="E44" s="71">
        <f>SUBTOTAL(109,所有者权益[2月])</f>
        <v>0</v>
      </c>
      <c r="F44" s="71">
        <f>SUBTOTAL(109,所有者权益[3月])</f>
        <v>0</v>
      </c>
      <c r="G44" s="71">
        <f>SUBTOTAL(109,所有者权益[4月])</f>
        <v>0</v>
      </c>
      <c r="H44" s="71">
        <f>SUBTOTAL(109,所有者权益[5月])</f>
        <v>0</v>
      </c>
      <c r="I44" s="71">
        <f>SUBTOTAL(109,所有者权益[6月])</f>
        <v>0</v>
      </c>
      <c r="J44" s="71">
        <f>SUBTOTAL(109,所有者权益[7月])</f>
        <v>0</v>
      </c>
      <c r="K44" s="71">
        <f>SUBTOTAL(109,所有者权益[8月])</f>
        <v>0</v>
      </c>
      <c r="L44" s="71">
        <f>SUBTOTAL(109,所有者权益[9月])</f>
        <v>0</v>
      </c>
      <c r="M44" s="71">
        <f>SUBTOTAL(109,所有者权益[10月])</f>
        <v>0</v>
      </c>
      <c r="N44" s="71">
        <f>SUBTOTAL(109,所有者权益[11月])</f>
        <v>0</v>
      </c>
      <c r="O44" s="71">
        <f>SUBTOTAL(109,所有者权益[12月])</f>
        <v>0</v>
      </c>
    </row>
    <row r="45" spans="1:15">
      <c r="J45" s="41"/>
    </row>
    <row r="46" spans="1:15" ht="36">
      <c r="A46" s="40" t="s">
        <v>278</v>
      </c>
      <c r="B46" s="72" t="s">
        <v>279</v>
      </c>
      <c r="C46" s="73">
        <f>所有者权益[[#Totals],[上一年度]]+长期负债[[#Totals],[上一年度]]+流动负债[[#Totals],[上一年度]]</f>
        <v>0</v>
      </c>
      <c r="D46" s="73">
        <f>所有者权益[[#Totals],[1月]]+长期负债[[#Totals],[1月]]+流动负债[[#Totals],[1月]]</f>
        <v>0</v>
      </c>
      <c r="E46" s="73">
        <f>所有者权益[[#Totals],[2月]]+长期负债[[#Totals],[2月]]+流动负债[[#Totals],[2月]]</f>
        <v>0</v>
      </c>
      <c r="F46" s="73">
        <f>所有者权益[[#Totals],[3月]]+长期负债[[#Totals],[3月]]+流动负债[[#Totals],[3月]]</f>
        <v>0</v>
      </c>
      <c r="G46" s="73">
        <f>所有者权益[[#Totals],[4月]]+长期负债[[#Totals],[4月]]+流动负债[[#Totals],[4月]]</f>
        <v>0</v>
      </c>
      <c r="H46" s="73">
        <f>所有者权益[[#Totals],[5月]]+长期负债[[#Totals],[5月]]+流动负债[[#Totals],[5月]]</f>
        <v>0</v>
      </c>
      <c r="I46" s="73">
        <f>所有者权益[[#Totals],[6月]]+长期负债[[#Totals],[6月]]+流动负债[[#Totals],[6月]]</f>
        <v>0</v>
      </c>
      <c r="J46" s="73">
        <f>所有者权益[[#Totals],[7月]]+长期负债[[#Totals],[7月]]+流动负债[[#Totals],[7月]]</f>
        <v>0</v>
      </c>
      <c r="K46" s="73">
        <f>所有者权益[[#Totals],[8月]]+长期负债[[#Totals],[8月]]+流动负债[[#Totals],[8月]]</f>
        <v>0</v>
      </c>
      <c r="L46" s="73">
        <f>所有者权益[[#Totals],[9月]]+长期负债[[#Totals],[9月]]+流动负债[[#Totals],[9月]]</f>
        <v>0</v>
      </c>
      <c r="M46" s="73">
        <f>所有者权益[[#Totals],[10月]]+长期负债[[#Totals],[10月]]+流动负债[[#Totals],[10月]]</f>
        <v>0</v>
      </c>
      <c r="N46" s="73">
        <f>所有者权益[[#Totals],[11月]]+长期负债[[#Totals],[11月]]+流动负债[[#Totals],[11月]]</f>
        <v>0</v>
      </c>
      <c r="O46" s="73">
        <f>所有者权益[[#Totals],[12月]]+长期负债[[#Totals],[12月]]+流动负债[[#Totals],[12月]]</f>
        <v>0</v>
      </c>
    </row>
    <row r="47" spans="1:15">
      <c r="D47" s="45"/>
      <c r="E47" s="45"/>
      <c r="F47" s="45"/>
      <c r="G47" s="45"/>
      <c r="H47" s="45"/>
      <c r="I47" s="45"/>
      <c r="J47" s="45"/>
      <c r="K47" s="45"/>
      <c r="L47" s="45"/>
      <c r="M47" s="45"/>
      <c r="N47" s="45"/>
      <c r="O47" s="45"/>
    </row>
    <row r="48" spans="1:15">
      <c r="J48" s="41"/>
    </row>
    <row r="49" spans="1:15" ht="17">
      <c r="A49" s="40" t="s">
        <v>280</v>
      </c>
      <c r="B49" s="74" t="s">
        <v>281</v>
      </c>
      <c r="C49" s="75">
        <f>SUM(C25-C46)</f>
        <v>0</v>
      </c>
      <c r="D49" s="75">
        <f>SUM(D25-D46)</f>
        <v>0</v>
      </c>
      <c r="E49" s="75">
        <f>SUM(E25-E46)</f>
        <v>0</v>
      </c>
      <c r="F49" s="75">
        <f t="shared" ref="F49:O49" si="0">SUM(F25-F46)</f>
        <v>0</v>
      </c>
      <c r="G49" s="75">
        <f t="shared" si="0"/>
        <v>0</v>
      </c>
      <c r="H49" s="75">
        <f t="shared" si="0"/>
        <v>0</v>
      </c>
      <c r="I49" s="75">
        <f t="shared" si="0"/>
        <v>0</v>
      </c>
      <c r="J49" s="75">
        <f t="shared" si="0"/>
        <v>0</v>
      </c>
      <c r="K49" s="75">
        <f t="shared" si="0"/>
        <v>0</v>
      </c>
      <c r="L49" s="75">
        <f t="shared" si="0"/>
        <v>0</v>
      </c>
      <c r="M49" s="75">
        <f t="shared" si="0"/>
        <v>0</v>
      </c>
      <c r="N49" s="75">
        <f t="shared" si="0"/>
        <v>0</v>
      </c>
      <c r="O49" s="75">
        <f t="shared" si="0"/>
        <v>0</v>
      </c>
    </row>
  </sheetData>
  <mergeCells count="13">
    <mergeCell ref="N1:N2"/>
    <mergeCell ref="O1:O2"/>
    <mergeCell ref="B1:C2"/>
    <mergeCell ref="I1:I2"/>
    <mergeCell ref="J1:J2"/>
    <mergeCell ref="K1:K2"/>
    <mergeCell ref="L1:L2"/>
    <mergeCell ref="M1:M2"/>
    <mergeCell ref="D1:D2"/>
    <mergeCell ref="E1:E2"/>
    <mergeCell ref="F1:F2"/>
    <mergeCell ref="G1:G2"/>
    <mergeCell ref="H1:H2"/>
  </mergeCells>
  <phoneticPr fontId="105" type="noConversion"/>
  <conditionalFormatting sqref="C49:O49">
    <cfRule type="cellIs" dxfId="0" priority="1" operator="lessThan">
      <formula>0</formula>
    </cfRule>
  </conditionalFormatting>
  <printOptions horizontalCentered="1" verticalCentered="1"/>
  <pageMargins left="0.5" right="0.5" top="0.5" bottom="0.5" header="0.5" footer="0.5"/>
  <pageSetup paperSize="9" orientation="portrait"/>
  <headerFooter alignWithMargins="0"/>
  <tableParts count="6">
    <tablePart r:id="rId1"/>
    <tablePart r:id="rId2"/>
    <tablePart r:id="rId3"/>
    <tablePart r:id="rId4"/>
    <tablePart r:id="rId5"/>
    <tablePart r:id="rId6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9" tint="-0.499984740745262"/>
  </sheetPr>
  <dimension ref="A1"/>
  <sheetViews>
    <sheetView showGridLines="0" showRowColHeaders="0" workbookViewId="0"/>
  </sheetViews>
  <sheetFormatPr baseColWidth="10" defaultColWidth="9" defaultRowHeight="14"/>
  <sheetData/>
  <phoneticPr fontId="105" type="noConversion"/>
  <pageMargins left="0.7" right="0.7" top="0.75" bottom="0.75" header="0.3" footer="0.3"/>
  <pageSetup paperSize="9" firstPageNumber="26214" orientation="landscape" useFirstPageNumber="1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"/>
  <sheetViews>
    <sheetView workbookViewId="0">
      <selection activeCell="M30" sqref="M30"/>
    </sheetView>
  </sheetViews>
  <sheetFormatPr baseColWidth="10" defaultColWidth="9" defaultRowHeight="14"/>
  <sheetData/>
  <phoneticPr fontId="105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Image xmlns="71af3243-3dd4-4a8d-8c0d-dd76da1f02a5">
      <Url xsi:nil="true"/>
      <Description xsi:nil="true"/>
    </Image>
    <Status xmlns="71af3243-3dd4-4a8d-8c0d-dd76da1f02a5">Not started</Status>
    <Background xmlns="71af3243-3dd4-4a8d-8c0d-dd76da1f02a5">false</Background>
    <_ip_UnifiedCompliancePolicyProperties xmlns="http://schemas.microsoft.com/sharepoint/v3" xsi:nil="true"/>
    <ImageTagsTaxHTField xmlns="71af3243-3dd4-4a8d-8c0d-dd76da1f02a5">
      <Terms xmlns="http://schemas.microsoft.com/office/infopath/2007/PartnerControls"/>
    </ImageTagsTaxHTField>
    <TaxCatchAll xmlns="230e9df3-be65-4c73-a93b-d1236ebd677e" xsi:nil="true"/>
    <MediaServiceKeyPoints xmlns="71af3243-3dd4-4a8d-8c0d-dd76da1f02a5" xsi:nil="true"/>
  </documentManagement>
</p:properties>
</file>

<file path=customXml/item3.xml>��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F111ED35F8CC479449609E8A0923A6" ma:contentTypeVersion="26" ma:contentTypeDescription="Create a new document." ma:contentTypeScope="" ma:versionID="ac37c1753acd5e330d2062ccec26ea66">
  <xsd:schema xmlns:xsd="http://www.w3.org/2001/XMLSchema" xmlns:xs="http://www.w3.org/2001/XMLSchema" xmlns:p="http://schemas.microsoft.com/office/2006/metadata/properties" xmlns:ns1="http://schemas.microsoft.com/sharepoint/v3" xmlns:ns2="71af3243-3dd4-4a8d-8c0d-dd76da1f02a5" xmlns:ns3="16c05727-aa75-4e4a-9b5f-8a80a1165891" xmlns:ns4="230e9df3-be65-4c73-a93b-d1236ebd677e" targetNamespace="http://schemas.microsoft.com/office/2006/metadata/properties" ma:root="true" ma:fieldsID="3b340c7101c92c5120abd06486f94548" ns1:_="" ns2:_="" ns3:_="" ns4:_="">
    <xsd:import namespace="http://schemas.microsoft.com/sharepoint/v3"/>
    <xsd:import namespace="71af3243-3dd4-4a8d-8c0d-dd76da1f02a5"/>
    <xsd:import namespace="16c05727-aa75-4e4a-9b5f-8a80a1165891"/>
    <xsd:import namespace="230e9df3-be65-4c73-a93b-d1236ebd677e"/>
    <xsd:element name="properties">
      <xsd:complexType>
        <xsd:sequence>
          <xsd:element name="documentManagement">
            <xsd:complexType>
              <xsd:all>
                <xsd:element ref="ns2:Status" minOccurs="0"/>
                <xsd:element ref="ns2:Image" minOccurs="0"/>
                <xsd:element ref="ns2:MediaServiceMetadata" minOccurs="0"/>
                <xsd:element ref="ns2:MediaServiceFastMetadata" minOccurs="0"/>
                <xsd:element ref="ns2:MediaServiceOCR" minOccurs="0"/>
                <xsd:element ref="ns2:MediaServiceAutoTags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1:_ip_UnifiedCompliancePolicyProperties" minOccurs="0"/>
                <xsd:element ref="ns1:_ip_UnifiedCompliancePolicyUIAction" minOccurs="0"/>
                <xsd:element ref="ns4:TaxCatchAll" minOccurs="0"/>
                <xsd:element ref="ns2:ImageTagsTaxHTField" minOccurs="0"/>
                <xsd:element ref="ns2:MediaServiceLocation" minOccurs="0"/>
                <xsd:element ref="ns2:MediaLengthInSeconds" minOccurs="0"/>
                <xsd:element ref="ns2:Background" minOccurs="0"/>
                <xsd:element ref="ns2:MediaServiceSearchProperties" minOccurs="0"/>
                <xsd:element ref="ns2:MediaServiceDoc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 ma:readOnly="false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 ma:readOnly="fals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af3243-3dd4-4a8d-8c0d-dd76da1f02a5" elementFormDefault="qualified">
    <xsd:import namespace="http://schemas.microsoft.com/office/2006/documentManagement/types"/>
    <xsd:import namespace="http://schemas.microsoft.com/office/infopath/2007/PartnerControls"/>
    <xsd:element name="Status" ma:index="2" nillable="true" ma:displayName="Status" ma:default="Not started" ma:format="Dropdown" ma:internalName="Status" ma:readOnly="false">
      <xsd:simpleType>
        <xsd:restriction base="dms:Choice">
          <xsd:enumeration value="Not started"/>
          <xsd:enumeration value="In Progress"/>
          <xsd:enumeration value="Completed"/>
        </xsd:restriction>
      </xsd:simpleType>
    </xsd:element>
    <xsd:element name="Image" ma:index="3" nillable="true" ma:displayName="Image" ma:format="Image" ma:internalName="Image" ma:readOnly="fals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hidden="true" ma:internalName="MediaServiceOCR" ma:readOnly="true">
      <xsd:simpleType>
        <xsd:restriction base="dms:Note"/>
      </xsd:simpleType>
    </xsd:element>
    <xsd:element name="MediaServiceAutoTags" ma:index="11" nillable="true" ma:displayName="MediaServiceAutoTags" ma:hidden="true" ma:internalName="MediaServiceAutoTags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hidden="true" ma:internalName="MediaServiceKeyPoints" ma:readOnly="false">
      <xsd:simpleType>
        <xsd:restriction base="dms:Note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ImageTagsTaxHTField" ma:index="25" nillable="true" ma:taxonomy="true" ma:internalName="ImageTagsTaxHTField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6" nillable="true" ma:displayName="Location" ma:hidden="true" ma:internalName="MediaServiceLocation" ma:readOnly="true">
      <xsd:simpleType>
        <xsd:restriction base="dms:Text"/>
      </xsd:simpleType>
    </xsd:element>
    <xsd:element name="MediaLengthInSeconds" ma:index="27" nillable="true" ma:displayName="MediaLengthInSeconds" ma:hidden="true" ma:internalName="MediaLengthInSeconds" ma:readOnly="true">
      <xsd:simpleType>
        <xsd:restriction base="dms:Unknown"/>
      </xsd:simpleType>
    </xsd:element>
    <xsd:element name="Background" ma:index="28" nillable="true" ma:displayName="Background" ma:default="0" ma:format="Dropdown" ma:internalName="Background">
      <xsd:simpleType>
        <xsd:restriction base="dms:Boolean"/>
      </xsd:simple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ocTags" ma:index="30" nillable="true" ma:displayName="MediaServiceDocTags" ma:hidden="true" ma:internalName="MediaServiceDoc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05727-aa75-4e4a-9b5f-8a80a116589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hidden="true" ma:internalName="SharedWithDetail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0e9df3-be65-4c73-a93b-d1236ebd677e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3f6bfcbc-3db3-4ae6-bd76-326f0798ad28}" ma:internalName="TaxCatchAll" ma:readOnly="false" ma:showField="CatchAllData" ma:web="16c05727-aa75-4e4a-9b5f-8a80a116589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1766A65-F7C1-4A05-AEB7-FE8822B53FAC}">
  <ds:schemaRefs/>
</ds:datastoreItem>
</file>

<file path=customXml/itemProps2.xml><?xml version="1.0" encoding="utf-8"?>
<ds:datastoreItem xmlns:ds="http://schemas.openxmlformats.org/officeDocument/2006/customXml" ds:itemID="{08AC7FD9-EBCF-4CC4-BE1C-34B80F7E8353}">
  <ds:schemaRefs/>
</ds:datastoreItem>
</file>

<file path=customXml/itemProps3.xml><?xml version="1.0" encoding="utf-8"?>
<ds:datastoreItem xmlns:ds="http://schemas.openxmlformats.org/officeDocument/2006/customXml" ds:itemID="{51C1C5D5-175D-427B-9311-E3AAC71DDBC5}">
  <ds:schemaRefs/>
</ds:datastoreItem>
</file>

<file path=customXml/itemProps4.xml><?xml version="1.0" encoding="utf-8"?>
<ds:datastoreItem xmlns:ds="http://schemas.openxmlformats.org/officeDocument/2006/customXml" ds:itemID="{48771426-2A7A-4B36-9D43-BE262652591C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>TM33398600</Template>
  <Application>Microsoft Macintosh Excel</Application>
  <DocSecurity>0</DocSecurity>
  <ScaleCrop>false</ScaleCrop>
  <HeadingPairs>
    <vt:vector size="4" baseType="variant">
      <vt:variant>
        <vt:lpstr>工作表</vt:lpstr>
      </vt:variant>
      <vt:variant>
        <vt:i4>11</vt:i4>
      </vt:variant>
      <vt:variant>
        <vt:lpstr>命名范围</vt:lpstr>
      </vt:variant>
      <vt:variant>
        <vt:i4>11</vt:i4>
      </vt:variant>
    </vt:vector>
  </HeadingPairs>
  <TitlesOfParts>
    <vt:vector size="22" baseType="lpstr">
      <vt:lpstr>收支财务报表</vt:lpstr>
      <vt:lpstr>现金流量表</vt:lpstr>
      <vt:lpstr>月度预算</vt:lpstr>
      <vt:lpstr>利润表</vt:lpstr>
      <vt:lpstr>收入</vt:lpstr>
      <vt:lpstr>成本</vt:lpstr>
      <vt:lpstr>支出</vt:lpstr>
      <vt:lpstr>固定资产记录</vt:lpstr>
      <vt:lpstr>资产负债表</vt:lpstr>
      <vt:lpstr>年同比图表</vt:lpstr>
      <vt:lpstr>总汇概览</vt:lpstr>
      <vt:lpstr>_2月</vt:lpstr>
      <vt:lpstr>Company_Name</vt:lpstr>
      <vt:lpstr>FiscalYearStartDate</vt:lpstr>
      <vt:lpstr>现金流量表!Print_Area</vt:lpstr>
      <vt:lpstr>成本!Print_Titles</vt:lpstr>
      <vt:lpstr>收入!Print_Titles</vt:lpstr>
      <vt:lpstr>支出!Print_Titles</vt:lpstr>
      <vt:lpstr>Title1</vt:lpstr>
      <vt:lpstr>Wksht_Title</vt:lpstr>
      <vt:lpstr>标题2</vt:lpstr>
      <vt:lpstr>标题3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kevin</cp:lastModifiedBy>
  <cp:lastPrinted>2025-01-29T19:34:00Z</cp:lastPrinted>
  <dcterms:created xsi:type="dcterms:W3CDTF">2022-11-06T05:34:00Z</dcterms:created>
  <dcterms:modified xsi:type="dcterms:W3CDTF">2026-05-02T13:20:06Z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  <property fmtid="{D5CDD505-2E9C-101B-9397-08002B2CF9AE}" pid="3" name="ICV">
    <vt:lpwstr>DF4FB14254274AF2BE341A850C89F621_12</vt:lpwstr>
  </property>
  <property fmtid="{D5CDD505-2E9C-101B-9397-08002B2CF9AE}" pid="4" name="KSOProductBuildVer">
    <vt:lpwstr>2052-12.1.0.16120</vt:lpwstr>
  </property>
</Properties>
</file>