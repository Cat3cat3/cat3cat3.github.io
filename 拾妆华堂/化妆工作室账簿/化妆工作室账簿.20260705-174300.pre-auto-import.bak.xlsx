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18.xml" ContentType="application/vnd.openxmlformats-officedocument.spreadsheetml.table+xml"/>
  <Override PartName="/xl/worksheets/sheet6.xml" ContentType="application/vnd.openxmlformats-officedocument.spreadsheetml.worksheet+xml"/>
  <Override PartName="/xl/tables/table19.xml" ContentType="application/vnd.openxmlformats-officedocument.spreadsheetml.table+xml"/>
  <Override PartName="/xl/worksheets/sheet7.xml" ContentType="application/vnd.openxmlformats-officedocument.spreadsheetml.worksheet+xml"/>
  <Override PartName="/xl/tables/table20.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1" showHorizontalScroll="1" showVerticalScroll="1" showSheetTabs="1" xWindow="0" yWindow="500" windowWidth="28800" windowHeight="16140" tabRatio="600" firstSheet="0" activeTab="0" autoFilterDateGrouping="1"/>
  </bookViews>
  <sheets>
    <sheet xmlns:r="http://schemas.openxmlformats.org/officeDocument/2006/relationships" name="收支财务报表" sheetId="1" state="visible" r:id="rId1"/>
    <sheet xmlns:r="http://schemas.openxmlformats.org/officeDocument/2006/relationships" name="现金流量表" sheetId="2" state="visible" r:id="rId2"/>
    <sheet xmlns:r="http://schemas.openxmlformats.org/officeDocument/2006/relationships" name="月度预算" sheetId="3" state="visible" r:id="rId3"/>
    <sheet xmlns:r="http://schemas.openxmlformats.org/officeDocument/2006/relationships" name="利润表" sheetId="4" state="visible" r:id="rId4"/>
    <sheet xmlns:r="http://schemas.openxmlformats.org/officeDocument/2006/relationships" name="收入" sheetId="5" state="visible" r:id="rId5"/>
    <sheet xmlns:r="http://schemas.openxmlformats.org/officeDocument/2006/relationships" name="成本" sheetId="6" state="visible" r:id="rId6"/>
    <sheet xmlns:r="http://schemas.openxmlformats.org/officeDocument/2006/relationships" name="支出" sheetId="7" state="visible" r:id="rId7"/>
    <sheet xmlns:r="http://schemas.openxmlformats.org/officeDocument/2006/relationships" name="固定资产记录" sheetId="8" state="visible" r:id="rId8"/>
    <sheet xmlns:r="http://schemas.openxmlformats.org/officeDocument/2006/relationships" name="资产负债表" sheetId="9" state="visible" r:id="rId9"/>
    <sheet xmlns:r="http://schemas.openxmlformats.org/officeDocument/2006/relationships" name="年同比图表" sheetId="10" state="visible" r:id="rId10"/>
    <sheet xmlns:r="http://schemas.openxmlformats.org/officeDocument/2006/relationships" name="总汇概览" sheetId="11" state="visible" r:id="rId11"/>
    <sheet xmlns:r="http://schemas.openxmlformats.org/officeDocument/2006/relationships" name="待确认" sheetId="12" state="visible" r:id="rId12"/>
  </sheets>
  <definedNames>
    <definedName name="_2月">资产负债表!$E$5:$E$11</definedName>
    <definedName name="Company_Name">收入!$B$2</definedName>
    <definedName name="FiscalYearStartDate">现金流量表!$B$4</definedName>
    <definedName name="FYMonthNo">IF(FYMonthStart="1 月",1,IF(FYMonthStart="2 月",2,IF(FYMonthStart="3 月",3,IF(FYMonthStart="4 月",4,IF(FYMonthStart="5 月",5,IF(FYMonthStart="6 月",6,IF(FYMonthStart="7 月",7,IF(FYMonthStart="8 月",8,IF(FYMonthStart="9 月",9,IF(FYMonthStart="10 月",10,IF(FYMonthStart="11 月",11,12)))))))))))</definedName>
    <definedName name="Title1">收入[[#Headers],[收入]]</definedName>
    <definedName name="Wksht_Title">收入!$B$4</definedName>
    <definedName name="标题1">#REF!</definedName>
    <definedName name="标题2">CostofSales[[#Headers],[成本]]</definedName>
    <definedName name="标题3">tblExpenses[[#Headers],[费用]]</definedName>
    <definedName name="_xlnm.Print_Area" localSheetId="1">'现金流量表'!$A$1:$N$45</definedName>
    <definedName name="_xlnm.Print_Titles" localSheetId="4">'收入'!$6:$6</definedName>
    <definedName name="FYMonthNo" localSheetId="5">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5">'成本'!$6:$6</definedName>
    <definedName name="FYMonthNo" localSheetId="6">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6">'支出'!$6:$6</definedName>
  </definedNames>
  <calcPr calcId="191029" fullCalcOnLoad="1"/>
</workbook>
</file>

<file path=xl/styles.xml><?xml version="1.0" encoding="utf-8"?>
<styleSheet xmlns="http://schemas.openxmlformats.org/spreadsheetml/2006/main">
  <numFmts count="20">
    <numFmt numFmtId="164" formatCode="yyyy&quot;年&quot;m&quot;月&quot;d&quot;日&quot;;@"/>
    <numFmt numFmtId="165" formatCode="_(&quot;￥&quot;* #,##0.00_);_(&quot;￥&quot;* \(#,##0.00\);_(&quot;￥&quot;* &quot;-&quot;??_);_(@_)"/>
    <numFmt numFmtId="166" formatCode="_ * #,##0.00_ ;_ * \-#,##0.00_ ;_ * &quot;-&quot;??_ ;_ @_ "/>
    <numFmt numFmtId="167" formatCode="\¥#,##0.00_);\(\¥#,##0.00\)"/>
    <numFmt numFmtId="168" formatCode="\¥#,##0.00;\¥\-#,##0.00"/>
    <numFmt numFmtId="169" formatCode="_(&quot;$&quot;* #,##0.00_);_(&quot;$&quot;* \(#,##0.00\);_(&quot;$&quot;* &quot;-&quot;??_);_(@_)"/>
    <numFmt numFmtId="170" formatCode="_ \¥* #,##0.00_ ;_ \¥* \-#,##0.00_ ;_ \¥* &quot;-&quot;??_ ;_ @_ "/>
    <numFmt numFmtId="171" formatCode="\¥#,##0.00_);[Red]\(\¥#,##0.00\)"/>
    <numFmt numFmtId="172" formatCode="mmm"/>
    <numFmt numFmtId="173" formatCode="dd"/>
    <numFmt numFmtId="174" formatCode="0_);\!\-0_)"/>
    <numFmt numFmtId="175" formatCode="yyyy\-mm\-dd;@"/>
    <numFmt numFmtId="176" formatCode="#,##0.00_ "/>
    <numFmt numFmtId="177" formatCode="&quot;-&quot;#,##0.00_ "/>
    <numFmt numFmtId="178" formatCode="&quot;+&quot;#,##0.00_ "/>
    <numFmt numFmtId="179" formatCode="&quot;￥&quot;#,##0.00_);[Red]\(&quot;￥&quot;#,##0.00\)"/>
    <numFmt numFmtId="180" formatCode="General&quot;年&quot;"/>
    <numFmt numFmtId="181" formatCode="00&quot;月&quot;"/>
    <numFmt numFmtId="182" formatCode="[&lt;=9999999]###\-####;\(###\)\ ###\-####"/>
    <numFmt numFmtId="183" formatCode="_ \¥* #,##0_ ;_ \¥* \-#,##0_ ;_ \¥* &quot;-&quot;_ ;_ @_ "/>
  </numFmts>
  <fonts count="116">
    <font>
      <name val="Microsoft YaHei UI"/>
      <charset val="134"/>
      <color theme="1" tint="0.249946592608417"/>
      <sz val="10"/>
    </font>
    <font>
      <name val="Microsoft YaHei UI"/>
      <charset val="134"/>
      <family val="2"/>
      <color theme="1" tint="0.1499069185460982"/>
      <sz val="11"/>
    </font>
    <font>
      <name val="华文新魏"/>
      <charset val="134"/>
      <family val="3"/>
      <b val="1"/>
      <color indexed="9"/>
      <sz val="20"/>
    </font>
    <font>
      <name val="华文新魏"/>
      <charset val="134"/>
      <family val="3"/>
      <color indexed="9"/>
      <sz val="10"/>
    </font>
    <font>
      <name val="华文新魏"/>
      <charset val="134"/>
      <family val="3"/>
      <b val="1"/>
      <color indexed="62"/>
      <sz val="12"/>
    </font>
    <font>
      <name val="宋体"/>
      <charset val="134"/>
      <family val="3"/>
      <sz val="10"/>
    </font>
    <font>
      <name val="华文新魏"/>
      <charset val="134"/>
      <family val="3"/>
      <b val="1"/>
      <color indexed="63"/>
      <sz val="26"/>
    </font>
    <font>
      <name val="华文新魏"/>
      <charset val="134"/>
      <family val="3"/>
      <color indexed="63"/>
      <sz val="26"/>
    </font>
    <font>
      <name val="华文新魏"/>
      <charset val="134"/>
      <family val="3"/>
      <b val="1"/>
      <color indexed="9"/>
      <sz val="12"/>
    </font>
    <font>
      <name val="Arial"/>
      <family val="2"/>
      <sz val="10"/>
    </font>
    <font>
      <name val="Microsoft YaHei UI"/>
      <charset val="134"/>
      <family val="2"/>
      <b val="1"/>
      <color theme="1"/>
      <sz val="10"/>
    </font>
    <font>
      <name val="Microsoft YaHei UI"/>
      <charset val="134"/>
      <family val="2"/>
      <color theme="0"/>
      <sz val="10"/>
    </font>
    <font>
      <name val="Microsoft YaHei UI"/>
      <charset val="134"/>
      <family val="2"/>
      <color theme="1"/>
      <sz val="10"/>
    </font>
    <font>
      <name val="Microsoft YaHei UI"/>
      <charset val="134"/>
      <family val="2"/>
      <b val="1"/>
      <color theme="1"/>
      <sz val="16"/>
    </font>
    <font>
      <name val="Microsoft YaHei UI"/>
      <charset val="134"/>
      <family val="2"/>
      <b val="1"/>
      <color theme="1"/>
      <sz val="13"/>
    </font>
    <font>
      <name val="Microsoft YaHei UI"/>
      <charset val="134"/>
      <family val="2"/>
      <b val="1"/>
      <color theme="1"/>
      <sz val="11"/>
    </font>
    <font>
      <name val="Microsoft YaHei UI"/>
      <charset val="134"/>
      <family val="2"/>
      <b val="1"/>
      <color theme="0"/>
      <sz val="10"/>
    </font>
    <font>
      <name val="Microsoft YaHei UI"/>
      <charset val="134"/>
      <family val="2"/>
      <b val="1"/>
      <sz val="10"/>
    </font>
    <font>
      <name val="Microsoft YaHei UI"/>
      <charset val="134"/>
      <family val="2"/>
      <color theme="1" tint="0.249946592608417"/>
      <sz val="10"/>
    </font>
    <font>
      <name val="Microsoft YaHei UI"/>
      <charset val="134"/>
      <family val="2"/>
      <color theme="1"/>
      <sz val="11"/>
    </font>
    <font>
      <name val="Microsoft YaHei UI"/>
      <charset val="134"/>
      <family val="2"/>
      <sz val="11"/>
    </font>
    <font>
      <name val="Microsoft YaHei UI"/>
      <charset val="134"/>
      <family val="2"/>
      <b val="1"/>
      <sz val="44"/>
    </font>
    <font>
      <name val="Microsoft YaHei UI"/>
      <charset val="134"/>
      <family val="2"/>
      <b val="1"/>
      <sz val="36"/>
    </font>
    <font>
      <name val="Microsoft YaHei UI"/>
      <charset val="134"/>
      <family val="2"/>
      <b val="1"/>
      <sz val="26"/>
    </font>
    <font>
      <name val="Microsoft YaHei UI"/>
      <charset val="134"/>
      <family val="2"/>
      <b val="1"/>
      <color theme="3"/>
      <sz val="26"/>
    </font>
    <font>
      <name val="Microsoft YaHei UI"/>
      <charset val="134"/>
      <family val="2"/>
      <color theme="0"/>
      <sz val="12"/>
    </font>
    <font>
      <name val="Microsoft YaHei UI"/>
      <charset val="134"/>
      <family val="2"/>
      <b val="1"/>
      <color theme="1"/>
      <sz val="12"/>
    </font>
    <font>
      <name val="Microsoft YaHei UI"/>
      <charset val="134"/>
      <family val="2"/>
      <sz val="10"/>
    </font>
    <font>
      <name val="Microsoft YaHei UI"/>
      <charset val="134"/>
      <family val="2"/>
      <b val="1"/>
      <i val="1"/>
      <color theme="7"/>
      <sz val="22"/>
    </font>
    <font>
      <name val="Microsoft YaHei UI"/>
      <charset val="134"/>
      <family val="2"/>
      <b val="1"/>
      <color theme="8"/>
      <sz val="11"/>
    </font>
    <font>
      <name val="Microsoft YaHei UI"/>
      <charset val="134"/>
      <family val="2"/>
      <i val="1"/>
      <color theme="3" tint="-0.499984740745262"/>
      <sz val="22"/>
    </font>
    <font>
      <name val="Microsoft YaHei UI"/>
      <charset val="134"/>
      <family val="2"/>
      <color theme="3" tint="-0.499984740745262"/>
      <sz val="22"/>
    </font>
    <font>
      <name val="Microsoft YaHei UI"/>
      <charset val="134"/>
      <family val="2"/>
      <color theme="3" tint="-0.499984740745262"/>
      <sz val="16"/>
    </font>
    <font>
      <name val="Microsoft YaHei UI"/>
      <charset val="134"/>
      <family val="2"/>
      <color theme="3" tint="-0.499984740745262"/>
      <sz val="11"/>
    </font>
    <font>
      <name val="Microsoft YaHei UI"/>
      <charset val="134"/>
      <family val="2"/>
      <b val="1"/>
      <color theme="8"/>
      <sz val="12"/>
    </font>
    <font>
      <name val="Microsoft YaHei UI"/>
      <charset val="134"/>
      <family val="2"/>
      <b val="1"/>
      <i val="1"/>
      <color theme="7" tint="-0.249946592608417"/>
      <sz val="22"/>
    </font>
    <font>
      <name val="Microsoft YaHei UI"/>
      <charset val="134"/>
      <family val="2"/>
      <b val="1"/>
      <color theme="3"/>
      <sz val="22"/>
    </font>
    <font>
      <name val="Microsoft YaHei UI"/>
      <charset val="134"/>
      <family val="2"/>
      <color theme="1"/>
      <sz val="12"/>
    </font>
    <font>
      <name val="Microsoft YaHei UI"/>
      <charset val="134"/>
      <family val="2"/>
      <color theme="0"/>
      <sz val="11"/>
    </font>
    <font>
      <name val="Microsoft YaHei UI"/>
      <charset val="134"/>
      <family val="2"/>
      <color theme="1"/>
      <sz val="14"/>
    </font>
    <font>
      <name val="Microsoft YaHei UI"/>
      <charset val="134"/>
      <family val="2"/>
      <color theme="1" tint="0.1499679555650502"/>
      <sz val="10"/>
    </font>
    <font>
      <name val="Microsoft YaHei UI"/>
      <charset val="134"/>
      <family val="2"/>
      <color theme="4"/>
      <sz val="24"/>
    </font>
    <font>
      <name val="Microsoft YaHei UI"/>
      <charset val="134"/>
      <family val="2"/>
      <color theme="4"/>
      <sz val="40"/>
    </font>
    <font>
      <name val="Microsoft YaHei UI"/>
      <charset val="134"/>
      <family val="2"/>
      <color theme="4"/>
      <sz val="18"/>
    </font>
    <font>
      <name val="Microsoft YaHei UI"/>
      <charset val="134"/>
      <family val="2"/>
      <color theme="1" tint="0.1499679555650502"/>
      <sz val="14"/>
    </font>
    <font>
      <name val="Microsoft YaHei UI"/>
      <charset val="134"/>
      <family val="2"/>
      <color theme="8" tint="-0.499984740745262"/>
      <sz val="10"/>
    </font>
    <font>
      <name val="Microsoft YaHei UI"/>
      <charset val="134"/>
      <family val="2"/>
      <color theme="8" tint="-0.249977111117893"/>
      <sz val="10"/>
    </font>
    <font>
      <name val="Calibri"/>
      <family val="2"/>
      <color theme="1"/>
      <sz val="11"/>
      <scheme val="minor"/>
    </font>
    <font>
      <name val="Calibri"/>
      <family val="2"/>
      <color theme="1" tint="0.249946592608417"/>
      <sz val="10"/>
      <scheme val="major"/>
    </font>
    <font>
      <name val="Calibri"/>
      <family val="2"/>
      <color theme="0"/>
      <sz val="10"/>
      <scheme val="minor"/>
    </font>
    <font>
      <name val="Microsoft YaHei UI"/>
      <charset val="134"/>
      <family val="2"/>
      <b val="1"/>
      <color theme="4"/>
      <sz val="40"/>
    </font>
    <font>
      <name val="Microsoft YaHei UI"/>
      <charset val="134"/>
      <family val="2"/>
      <b val="1"/>
      <color theme="4"/>
      <sz val="20"/>
    </font>
    <font>
      <name val="Microsoft YaHei UI"/>
      <charset val="134"/>
      <family val="2"/>
      <color theme="4"/>
      <sz val="14"/>
    </font>
    <font>
      <name val="Microsoft YaHei UI"/>
      <charset val="134"/>
      <family val="2"/>
      <b val="1"/>
      <color theme="1"/>
      <sz val="14"/>
    </font>
    <font>
      <name val="Microsoft YaHei UI"/>
      <charset val="134"/>
      <family val="2"/>
      <color theme="1" tint="0.3499862666707358"/>
      <sz val="12"/>
    </font>
    <font>
      <name val="Microsoft YaHei UI"/>
      <charset val="134"/>
      <family val="2"/>
      <b val="1"/>
      <color theme="1" tint="0.249946592608417"/>
      <sz val="14"/>
    </font>
    <font>
      <name val="Microsoft YaHei UI"/>
      <charset val="134"/>
      <family val="2"/>
      <color theme="1" tint="0.249946592608417"/>
      <sz val="14"/>
    </font>
    <font>
      <name val="Microsoft YaHei UI"/>
      <charset val="134"/>
      <family val="2"/>
      <b val="1"/>
      <color theme="1" tint="0.3499862666707358"/>
      <sz val="14"/>
    </font>
    <font>
      <name val="Microsoft YaHei UI"/>
      <charset val="134"/>
      <family val="2"/>
      <b val="1"/>
      <color theme="1" tint="0.3499862666707358"/>
      <sz val="12"/>
    </font>
    <font>
      <name val="Microsoft YaHei UI"/>
      <charset val="134"/>
      <family val="2"/>
      <b val="1"/>
      <color theme="8"/>
      <sz val="20"/>
    </font>
    <font>
      <name val="Microsoft YaHei UI"/>
      <charset val="134"/>
      <family val="2"/>
      <b val="1"/>
      <color theme="1" tint="0.249946592608417"/>
      <sz val="10"/>
    </font>
    <font>
      <name val="Microsoft YaHei UI"/>
      <charset val="134"/>
      <family val="2"/>
      <sz val="12"/>
    </font>
    <font>
      <name val="Microsoft YaHei UI"/>
      <charset val="134"/>
      <family val="2"/>
      <b val="1"/>
      <sz val="12"/>
    </font>
    <font>
      <name val="Microsoft YaHei UI"/>
      <charset val="134"/>
      <family val="2"/>
      <b val="1"/>
      <color theme="1" tint="0.3499862666707358"/>
      <sz val="20"/>
    </font>
    <font>
      <name val="Microsoft YaHei UI"/>
      <charset val="134"/>
      <family val="2"/>
      <color theme="8"/>
      <sz val="10"/>
    </font>
    <font>
      <name val="Microsoft YaHei UI"/>
      <charset val="134"/>
      <family val="2"/>
      <color theme="1" tint="0.249946592608417"/>
      <sz val="12"/>
    </font>
    <font>
      <name val="Microsoft YaHei UI"/>
      <charset val="134"/>
      <family val="2"/>
      <b val="1"/>
      <color theme="0"/>
      <sz val="14"/>
    </font>
    <font>
      <name val="Microsoft YaHei UI"/>
      <charset val="134"/>
      <family val="2"/>
      <b val="1"/>
      <color theme="8"/>
      <sz val="14"/>
    </font>
    <font>
      <name val="Microsoft YaHei UI"/>
      <charset val="134"/>
      <family val="2"/>
      <b val="1"/>
      <color theme="0"/>
      <sz val="20"/>
    </font>
    <font>
      <name val="Microsoft YaHei UI"/>
      <charset val="134"/>
      <family val="2"/>
      <b val="1"/>
      <color theme="1" tint="0.249946592608417"/>
      <sz val="12"/>
    </font>
    <font>
      <name val="Microsoft YaHei UI"/>
      <charset val="134"/>
      <family val="2"/>
      <color theme="3" tint="0.249946592608417"/>
      <sz val="22"/>
    </font>
    <font>
      <name val="Microsoft YaHei UI"/>
      <charset val="134"/>
      <family val="2"/>
      <color theme="1" tint="0.1499374370555742"/>
      <sz val="10"/>
    </font>
    <font>
      <name val="Microsoft YaHei UI"/>
      <charset val="134"/>
      <family val="2"/>
      <b val="1"/>
      <color theme="4"/>
      <sz val="28"/>
    </font>
    <font>
      <name val="Microsoft YaHei UI"/>
      <charset val="134"/>
      <family val="2"/>
      <b val="1"/>
      <color theme="4" tint="-0.249977111117893"/>
      <sz val="11"/>
    </font>
    <font>
      <name val="Microsoft YaHei UI"/>
      <charset val="134"/>
      <family val="2"/>
      <b val="1"/>
      <color theme="1" tint="0.1497238074892422"/>
      <sz val="14"/>
    </font>
    <font>
      <name val="Microsoft YaHei UI"/>
      <charset val="134"/>
      <family val="2"/>
      <color theme="1" tint="0.1499679555650502"/>
      <sz val="9"/>
    </font>
    <font>
      <name val="Microsoft YaHei UI"/>
      <charset val="134"/>
      <family val="2"/>
      <color theme="1" tint="0.1499374370555742"/>
      <sz val="18"/>
    </font>
    <font>
      <name val="Microsoft YaHei UI"/>
      <charset val="134"/>
      <family val="2"/>
      <b val="1"/>
      <color theme="1" tint="0.1497238074892422"/>
      <sz val="11"/>
    </font>
    <font>
      <name val="Microsoft YaHei UI"/>
      <charset val="134"/>
      <family val="2"/>
      <color theme="1" tint="0.1497238074892422"/>
      <sz val="11"/>
    </font>
    <font>
      <name val="Microsoft YaHei UI"/>
      <charset val="134"/>
      <family val="2"/>
      <color theme="1" tint="0.499984740745262"/>
      <sz val="10"/>
    </font>
    <font>
      <name val="Microsoft YaHei UI"/>
      <charset val="134"/>
      <family val="2"/>
      <b val="1"/>
      <color theme="1" tint="0.1499679555650502"/>
      <sz val="12"/>
    </font>
    <font>
      <name val="微软雅黑"/>
      <charset val="134"/>
      <family val="2"/>
      <color theme="1" tint="0.3499862666707358"/>
      <sz val="11"/>
    </font>
    <font>
      <name val="微软雅黑"/>
      <charset val="134"/>
      <family val="2"/>
      <b val="1"/>
      <color rgb="FFFF0000"/>
      <sz val="11"/>
    </font>
    <font>
      <name val="微软雅黑"/>
      <charset val="134"/>
      <family val="2"/>
      <color theme="1"/>
      <sz val="11"/>
    </font>
    <font>
      <name val="微软雅黑"/>
      <charset val="134"/>
      <family val="2"/>
      <b val="1"/>
      <color rgb="FF24AEBE"/>
      <sz val="20"/>
    </font>
    <font>
      <name val="微软雅黑"/>
      <charset val="134"/>
      <family val="2"/>
      <color theme="0"/>
      <sz val="11"/>
    </font>
    <font>
      <name val="微软雅黑"/>
      <charset val="134"/>
      <family val="2"/>
      <b val="1"/>
      <color theme="8"/>
      <sz val="11"/>
    </font>
    <font>
      <name val="微软雅黑"/>
      <charset val="134"/>
      <family val="2"/>
      <color theme="0" tint="-0.0499893185216834"/>
      <sz val="11"/>
    </font>
    <font>
      <name val="微软雅黑"/>
      <charset val="134"/>
      <family val="2"/>
      <b val="1"/>
      <color theme="0" tint="-0.0499893185216834"/>
      <sz val="20"/>
    </font>
    <font>
      <name val="微软雅黑"/>
      <charset val="134"/>
      <family val="2"/>
      <color theme="0" tint="-0.1499374370555742"/>
      <sz val="11"/>
    </font>
    <font>
      <name val="微软雅黑"/>
      <charset val="134"/>
      <family val="2"/>
      <b val="1"/>
      <color theme="4" tint="0.7999206518753624"/>
      <sz val="16"/>
    </font>
    <font>
      <name val="微软雅黑"/>
      <charset val="134"/>
      <family val="2"/>
      <b val="1"/>
      <color theme="5" tint="0.7999206518753624"/>
      <sz val="16"/>
    </font>
    <font>
      <name val="微软雅黑"/>
      <charset val="134"/>
      <family val="2"/>
      <b val="1"/>
      <color theme="0"/>
      <sz val="16"/>
    </font>
    <font>
      <name val="微软雅黑"/>
      <charset val="134"/>
      <family val="2"/>
      <b val="1"/>
      <color theme="0"/>
      <sz val="11"/>
    </font>
    <font>
      <name val="微软雅黑"/>
      <charset val="134"/>
      <family val="2"/>
      <b val="1"/>
      <color theme="0"/>
      <sz val="13"/>
    </font>
    <font>
      <name val="Calibri"/>
      <family val="2"/>
      <color theme="1" tint="0.1499374370555742"/>
      <sz val="18"/>
      <scheme val="major"/>
    </font>
    <font>
      <name val="Calibri"/>
      <family val="2"/>
      <color theme="1" tint="0.1499679555650502"/>
      <sz val="10"/>
      <scheme val="minor"/>
    </font>
    <font>
      <name val="Calibri"/>
      <family val="2"/>
      <color theme="1" tint="0.1497238074892422"/>
      <sz val="11"/>
      <scheme val="major"/>
    </font>
    <font>
      <name val="Microsoft YaHei UI"/>
      <charset val="134"/>
      <family val="2"/>
      <b val="1"/>
      <i val="1"/>
      <color theme="7" tint="-0.249946592608417"/>
      <sz val="16"/>
    </font>
    <font>
      <name val="Calibri"/>
      <family val="2"/>
      <b val="1"/>
      <color theme="4"/>
      <sz val="28"/>
      <scheme val="major"/>
    </font>
    <font>
      <name val="Calibri"/>
      <family val="2"/>
      <color theme="1" tint="0.1499374370555742"/>
      <sz val="10"/>
      <scheme val="minor"/>
    </font>
    <font>
      <name val="Microsoft YaHei UI"/>
      <charset val="134"/>
      <family val="2"/>
      <color theme="4" tint="-0.499984740745262"/>
      <sz val="11"/>
    </font>
    <font>
      <name val="Arial"/>
      <family val="2"/>
      <sz val="9"/>
    </font>
    <font>
      <name val="宋体"/>
      <charset val="134"/>
      <family val="3"/>
      <sz val="9"/>
    </font>
    <font>
      <name val="Microsoft YaHei UI"/>
      <charset val="134"/>
      <family val="2"/>
      <b val="1"/>
      <color theme="1" tint="0.1499679555650502"/>
      <sz val="28"/>
    </font>
    <font>
      <name val="Microsoft YaHei UI"/>
      <charset val="134"/>
      <family val="2"/>
      <sz val="9"/>
    </font>
    <font>
      <name val="Microsoft YaHei UI"/>
      <charset val="134"/>
      <family val="2"/>
      <color theme="4"/>
      <sz val="24"/>
    </font>
    <font>
      <name val="Microsoft YaHei UI"/>
      <charset val="134"/>
      <family val="2"/>
      <b val="1"/>
      <sz val="44"/>
    </font>
    <font>
      <name val="Microsoft YaHei UI"/>
      <charset val="134"/>
      <family val="2"/>
      <color theme="1" tint="0.499984740745262"/>
      <sz val="10"/>
    </font>
    <font>
      <name val="微软雅黑"/>
      <charset val="134"/>
      <family val="2"/>
      <b val="1"/>
      <color rgb="FF24AEBE"/>
      <sz val="20"/>
    </font>
    <font>
      <name val="宋体"/>
      <charset val="134"/>
      <family val="3"/>
      <b val="1"/>
      <color rgb="FF000000"/>
      <sz val="9"/>
    </font>
    <font>
      <name val="宋体"/>
      <charset val="134"/>
      <family val="3"/>
      <color rgb="FF000000"/>
      <sz val="9"/>
    </font>
    <font>
      <name val="微软雅黑"/>
      <charset val="134"/>
      <family val="2"/>
      <color theme="1" tint="0.3499862666707358"/>
      <sz val="11"/>
    </font>
    <font>
      <name val="微软雅黑"/>
      <charset val="134"/>
      <family val="2"/>
      <color theme="0"/>
      <sz val="11"/>
    </font>
    <font>
      <name val="Microsoft YaHei UI"/>
      <charset val="134"/>
      <family val="2"/>
      <b val="1"/>
      <color theme="4"/>
      <sz val="40"/>
    </font>
    <font>
      <name val="微软雅黑"/>
      <charset val="134"/>
      <family val="2"/>
      <color rgb="FF595959"/>
      <sz val="11"/>
    </font>
  </fonts>
  <fills count="29">
    <fill>
      <patternFill/>
    </fill>
    <fill>
      <patternFill patternType="gray125"/>
    </fill>
    <fill>
      <patternFill patternType="solid">
        <fgColor indexed="32"/>
        <bgColor indexed="64"/>
      </patternFill>
    </fill>
    <fill>
      <patternFill patternType="solid">
        <fgColor indexed="9"/>
        <bgColor indexed="64"/>
      </patternFill>
    </fill>
    <fill>
      <patternFill patternType="solid">
        <fgColor indexed="54"/>
        <bgColor indexed="64"/>
      </patternFill>
    </fill>
    <fill>
      <patternFill patternType="solid">
        <fgColor indexed="41"/>
        <bgColor indexed="64"/>
      </patternFill>
    </fill>
    <fill>
      <patternFill patternType="solid">
        <fgColor indexed="26"/>
        <bgColor indexed="64"/>
      </patternFill>
    </fill>
    <fill>
      <patternFill patternType="solid">
        <fgColor indexed="46"/>
        <bgColor indexed="64"/>
      </patternFill>
    </fill>
    <fill>
      <patternFill patternType="lightUp">
        <fgColor theme="0"/>
        <bgColor theme="4" tint="0.3999450666829432"/>
      </patternFill>
    </fill>
    <fill>
      <patternFill patternType="lightUp">
        <fgColor theme="0"/>
        <bgColor theme="4" tint="0.7999511703848384"/>
      </patternFill>
    </fill>
    <fill>
      <patternFill patternType="lightUp">
        <fgColor theme="0"/>
        <bgColor theme="5" tint="0.3999450666829432"/>
      </patternFill>
    </fill>
    <fill>
      <patternFill patternType="lightUp">
        <fgColor theme="0"/>
        <bgColor theme="5" tint="0.7999511703848384"/>
      </patternFill>
    </fill>
    <fill>
      <patternFill patternType="solid">
        <fgColor theme="6" tint="0.5999938962981048"/>
        <bgColor indexed="64"/>
      </patternFill>
    </fill>
    <fill>
      <patternFill patternType="solid">
        <fgColor theme="4" tint="0.3999450666829432"/>
        <bgColor indexed="64"/>
      </patternFill>
    </fill>
    <fill>
      <patternFill patternType="solid">
        <fgColor theme="5" tint="0.5999938962981048"/>
        <bgColor indexed="64"/>
      </patternFill>
    </fill>
    <fill>
      <patternFill patternType="solid">
        <fgColor theme="4"/>
        <bgColor indexed="64"/>
      </patternFill>
    </fill>
    <fill>
      <patternFill patternType="solid">
        <fgColor theme="0"/>
        <bgColor indexed="64"/>
      </patternFill>
    </fill>
    <fill>
      <patternFill patternType="solid">
        <fgColor theme="4" tint="0.3999145481734672"/>
        <bgColor indexed="64"/>
      </patternFill>
    </fill>
    <fill>
      <patternFill patternType="solid">
        <fgColor theme="4" tint="0.5999938962981048"/>
        <bgColor indexed="64"/>
      </patternFill>
    </fill>
    <fill>
      <patternFill patternType="solid">
        <fgColor theme="0" tint="-0.0499893185216834"/>
        <bgColor indexed="64"/>
      </patternFill>
    </fill>
    <fill>
      <patternFill patternType="solid">
        <fgColor theme="4" tint="0.7999206518753624"/>
        <bgColor indexed="64"/>
      </patternFill>
    </fill>
    <fill>
      <patternFill patternType="solid">
        <fgColor theme="8" tint="0.3998840296639912"/>
        <bgColor indexed="64"/>
      </patternFill>
    </fill>
    <fill>
      <patternFill patternType="solid">
        <fgColor theme="8" tint="0.5999633777886288"/>
        <bgColor indexed="64"/>
      </patternFill>
    </fill>
    <fill>
      <patternFill patternType="solid">
        <fgColor theme="8" tint="0.7999206518753624"/>
        <bgColor indexed="64"/>
      </patternFill>
    </fill>
    <fill>
      <patternFill patternType="solid">
        <fgColor theme="4" tint="0.5999633777886288"/>
        <bgColor indexed="64"/>
      </patternFill>
    </fill>
    <fill>
      <patternFill patternType="solid">
        <fgColor rgb="FF28BED2"/>
        <bgColor indexed="64"/>
      </patternFill>
    </fill>
    <fill>
      <patternFill patternType="solid">
        <fgColor rgb="FF1E909E"/>
        <bgColor indexed="64"/>
      </patternFill>
    </fill>
    <fill>
      <patternFill patternType="solid">
        <fgColor theme="5" tint="0.3999145481734672"/>
        <bgColor indexed="64"/>
      </patternFill>
    </fill>
    <fill>
      <patternFill patternType="solid">
        <fgColor theme="6" tint="0.3999145481734672"/>
        <bgColor indexed="64"/>
      </patternFill>
    </fill>
  </fills>
  <borders count="70">
    <border>
      <left/>
      <right/>
      <top/>
      <bottom/>
      <diagonal/>
    </border>
    <border>
      <left/>
      <right/>
      <top/>
      <bottom style="thin">
        <color auto="1"/>
      </bottom>
      <diagonal/>
    </border>
    <border>
      <left style="thin">
        <color auto="1"/>
      </left>
      <right/>
      <top style="thin">
        <color auto="1"/>
      </top>
      <bottom style="thick">
        <color indexed="62"/>
      </bottom>
      <diagonal/>
    </border>
    <border>
      <left/>
      <right/>
      <top style="thin">
        <color auto="1"/>
      </top>
      <bottom style="thick">
        <color indexed="62"/>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style="thin">
        <color indexed="22"/>
      </right>
      <top/>
      <bottom style="thin">
        <color indexed="55"/>
      </bottom>
      <diagonal/>
    </border>
    <border>
      <left style="thin">
        <color indexed="22"/>
      </left>
      <right style="thin">
        <color indexed="22"/>
      </right>
      <top/>
      <bottom style="thin">
        <color indexed="55"/>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
      <left/>
      <right style="thin">
        <color auto="1"/>
      </right>
      <top style="thin">
        <color auto="1"/>
      </top>
      <bottom style="thick">
        <color indexed="62"/>
      </bottom>
      <diagonal/>
    </border>
    <border>
      <left style="thin">
        <color indexed="22"/>
      </left>
      <right/>
      <top/>
      <bottom style="thin">
        <color indexed="55"/>
      </bottom>
      <diagonal/>
    </border>
    <border>
      <left/>
      <right/>
      <top style="medium">
        <color theme="0"/>
      </top>
      <bottom style="medium">
        <color theme="0"/>
      </bottom>
      <diagonal/>
    </border>
    <border>
      <left/>
      <right/>
      <top/>
      <bottom style="thick">
        <color theme="4" tint="0.3999450666829432"/>
      </bottom>
      <diagonal/>
    </border>
    <border>
      <left style="medium">
        <color theme="0"/>
      </left>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ck">
        <color theme="5" tint="0.499984740745262"/>
      </bottom>
      <diagonal/>
    </border>
    <border>
      <left/>
      <right/>
      <top/>
      <bottom style="thick">
        <color auto="1"/>
      </bottom>
      <diagonal/>
    </border>
    <border>
      <left/>
      <right/>
      <top style="thin">
        <color theme="0"/>
      </top>
      <bottom/>
      <diagonal/>
    </border>
    <border>
      <left/>
      <right/>
      <top style="thin">
        <color theme="0"/>
      </top>
      <bottom style="thin">
        <color theme="0"/>
      </bottom>
      <diagonal/>
    </border>
    <border>
      <left/>
      <right/>
      <top/>
      <bottom style="thin">
        <color theme="0"/>
      </bottom>
      <diagonal/>
    </border>
    <border>
      <left/>
      <right/>
      <top/>
      <bottom style="medium">
        <color theme="4"/>
      </bottom>
      <diagonal/>
    </border>
    <border>
      <left style="thin">
        <color theme="6" tint="-0.249946592608417"/>
      </left>
      <right style="thin">
        <color theme="6" tint="-0.249946592608417"/>
      </right>
      <top style="thin">
        <color theme="6" tint="-0.249946592608417"/>
      </top>
      <bottom style="thin">
        <color theme="6" tint="-0.249946592608417"/>
      </bottom>
      <diagonal/>
    </border>
    <border>
      <left/>
      <right/>
      <top style="thin">
        <color theme="6" tint="-0.249946592608417"/>
      </top>
      <bottom style="thin">
        <color theme="6" tint="-0.249946592608417"/>
      </bottom>
      <diagonal/>
    </border>
    <border>
      <left/>
      <right style="thin">
        <color theme="0" tint="-0.499984740745262"/>
      </right>
      <top/>
      <bottom style="thin">
        <color theme="8"/>
      </bottom>
      <diagonal/>
    </border>
    <border>
      <left style="thin">
        <color theme="0" tint="-0.499984740745262"/>
      </left>
      <right/>
      <top/>
      <bottom style="thin">
        <color theme="8"/>
      </bottom>
      <diagonal/>
    </border>
    <border>
      <left/>
      <right style="thin">
        <color theme="0" tint="-0.1499069185460982"/>
      </right>
      <top/>
      <bottom style="thin">
        <color theme="0" tint="-0.1498764000366222"/>
      </bottom>
      <diagonal/>
    </border>
    <border>
      <left style="thin">
        <color theme="0" tint="-0.1499069185460982"/>
      </left>
      <right/>
      <top/>
      <bottom style="thin">
        <color theme="0" tint="-0.1498764000366222"/>
      </bottom>
      <diagonal/>
    </border>
    <border>
      <left/>
      <right style="thin">
        <color theme="0" tint="-0.1499069185460982"/>
      </right>
      <top/>
      <bottom style="thin">
        <color theme="0" tint="-0.1499069185460982"/>
      </bottom>
      <diagonal/>
    </border>
    <border>
      <left style="thin">
        <color theme="0" tint="-0.1499069185460982"/>
      </left>
      <right/>
      <top/>
      <bottom style="thin">
        <color theme="0" tint="-0.1499069185460982"/>
      </bottom>
      <diagonal/>
    </border>
    <border>
      <left/>
      <right style="thin">
        <color theme="0" tint="-0.1498458815271462"/>
      </right>
      <top style="thin">
        <color theme="0" tint="-0.1499069185460982"/>
      </top>
      <bottom style="thin">
        <color theme="0" tint="-0.1498764000366222"/>
      </bottom>
      <diagonal/>
    </border>
    <border>
      <left style="thin">
        <color theme="0" tint="-0.1498458815271462"/>
      </left>
      <right/>
      <top style="thin">
        <color theme="0" tint="-0.1499069185460982"/>
      </top>
      <bottom style="thin">
        <color theme="0" tint="-0.1498764000366222"/>
      </bottom>
      <diagonal/>
    </border>
    <border>
      <left/>
      <right style="thin">
        <color theme="0" tint="-0.1499069185460982"/>
      </right>
      <top style="thin">
        <color theme="0" tint="-0.1499069185460982"/>
      </top>
      <bottom style="thin">
        <color theme="0" tint="-0.1499069185460982"/>
      </bottom>
      <diagonal/>
    </border>
    <border>
      <left style="thin">
        <color theme="0" tint="-0.1499069185460982"/>
      </left>
      <right/>
      <top style="thin">
        <color theme="0" tint="-0.1499069185460982"/>
      </top>
      <bottom style="thin">
        <color theme="0" tint="-0.1499069185460982"/>
      </bottom>
      <diagonal/>
    </border>
    <border>
      <left/>
      <right/>
      <top/>
      <bottom style="double">
        <color theme="1" tint="0.1499374370555742"/>
      </bottom>
      <diagonal/>
    </border>
    <border>
      <left style="dotted">
        <color theme="0" tint="-0.3499862666707358"/>
      </left>
      <right style="dotted">
        <color theme="0" tint="-0.3499862666707358"/>
      </right>
      <top/>
      <bottom/>
      <diagonal/>
    </border>
    <border>
      <left style="dotted">
        <color theme="0" tint="-0.3499862666707358"/>
      </left>
      <right style="dotted">
        <color theme="0" tint="-0.3499862666707358"/>
      </right>
      <top/>
      <bottom style="thick">
        <color theme="4"/>
      </bottom>
      <diagonal/>
    </border>
    <border>
      <left/>
      <right style="dotted">
        <color theme="0" tint="-0.3499862666707358"/>
      </right>
      <top/>
      <bottom style="medium">
        <color theme="4" tint="0.3999145481734672"/>
      </bottom>
      <diagonal/>
    </border>
    <border>
      <left style="dotted">
        <color theme="0" tint="-0.3499862666707358"/>
      </left>
      <right style="dotted">
        <color theme="0" tint="-0.3499862666707358"/>
      </right>
      <top/>
      <bottom style="medium">
        <color theme="4" tint="0.3999145481734672"/>
      </bottom>
      <diagonal/>
    </border>
    <border>
      <left/>
      <right/>
      <top/>
      <bottom style="thick">
        <color theme="0"/>
      </bottom>
      <diagonal/>
    </border>
    <border>
      <left style="dotted">
        <color theme="0" tint="-0.3499862666707358"/>
      </left>
      <right style="dotted">
        <color theme="0" tint="-0.3499862666707358"/>
      </right>
      <top style="thin">
        <color theme="0"/>
      </top>
      <bottom style="thin">
        <color theme="0"/>
      </bottom>
      <diagonal/>
    </border>
    <border>
      <left style="dotted">
        <color theme="0" tint="-0.3499862666707358"/>
      </left>
      <right/>
      <top style="thin">
        <color theme="0"/>
      </top>
      <bottom style="thin">
        <color theme="0"/>
      </bottom>
      <diagonal/>
    </border>
    <border>
      <left style="thin">
        <color rgb="FF9AE6EC"/>
      </left>
      <right style="thin">
        <color rgb="FF9AE6EC"/>
      </right>
      <top style="thin">
        <color rgb="FF9AE6EC"/>
      </top>
      <bottom style="thin">
        <color rgb="FF9AE6EC"/>
      </bottom>
      <diagonal/>
    </border>
    <border>
      <left style="medium">
        <color rgb="FF1E909E"/>
      </left>
      <right/>
      <top style="medium">
        <color rgb="FF1E909E"/>
      </top>
      <bottom/>
      <diagonal/>
    </border>
    <border>
      <left/>
      <right style="medium">
        <color rgb="FF1E909E"/>
      </right>
      <top style="medium">
        <color rgb="FF1E909E"/>
      </top>
      <bottom/>
      <diagonal/>
    </border>
    <border>
      <left style="medium">
        <color rgb="FF1E909E"/>
      </left>
      <right/>
      <top/>
      <bottom/>
      <diagonal/>
    </border>
    <border>
      <left/>
      <right style="medium">
        <color rgb="FF1E909E"/>
      </right>
      <top/>
      <bottom/>
      <diagonal/>
    </border>
    <border>
      <left style="medium">
        <color rgb="FF1E909E"/>
      </left>
      <right/>
      <top style="thin">
        <color rgb="FF26B8CA"/>
      </top>
      <bottom style="thin">
        <color rgb="FF26B8CA"/>
      </bottom>
      <diagonal/>
    </border>
    <border>
      <left/>
      <right style="medium">
        <color rgb="FF1E909E"/>
      </right>
      <top style="thin">
        <color rgb="FF26B8CA"/>
      </top>
      <bottom style="thin">
        <color rgb="FF26B8CA"/>
      </bottom>
      <diagonal/>
    </border>
    <border>
      <left style="medium">
        <color rgb="FF1E909E"/>
      </left>
      <right/>
      <top/>
      <bottom style="medium">
        <color rgb="FF1E909E"/>
      </bottom>
      <diagonal/>
    </border>
    <border>
      <left/>
      <right style="medium">
        <color rgb="FF1E909E"/>
      </right>
      <top/>
      <bottom style="medium">
        <color rgb="FF1E909E"/>
      </bottom>
      <diagonal/>
    </border>
    <border>
      <left/>
      <right/>
      <top/>
      <bottom style="medium">
        <color theme="4" tint="-0.249946592608417"/>
      </bottom>
      <diagonal/>
    </border>
    <border>
      <left/>
      <right/>
      <top/>
      <bottom style="thick">
        <color theme="4" tint="0.499984740745262"/>
      </bottom>
      <diagonal/>
    </border>
    <border>
      <left/>
      <right/>
      <top/>
      <bottom style="medium">
        <color theme="4" tint="0.3999145481734672"/>
      </bottom>
      <diagonal/>
    </border>
    <border>
      <left/>
      <right/>
      <top/>
      <bottom style="dotted">
        <color theme="3"/>
      </bottom>
      <diagonal/>
    </border>
    <border>
      <left style="medium">
        <color rgb="FF1E909E"/>
      </left>
      <right style="medium">
        <color rgb="FF1E909E"/>
      </right>
      <top/>
      <bottom/>
      <diagonal/>
    </border>
    <border>
      <left/>
      <right/>
      <top style="thin">
        <color rgb="FF9AE6EC"/>
      </top>
      <bottom/>
      <diagonal/>
    </border>
    <border>
      <left/>
      <right style="thin">
        <color rgb="FF9AE6EC"/>
      </right>
      <top style="thin">
        <color rgb="FF9AE6EC"/>
      </top>
      <bottom/>
      <diagonal/>
    </border>
    <border>
      <left/>
      <right/>
      <top style="thin">
        <color rgb="FF9AE6EC"/>
      </top>
      <bottom style="thin">
        <color rgb="FF9AE6EC"/>
      </bottom>
      <diagonal/>
    </border>
    <border>
      <left/>
      <right style="thin">
        <color rgb="FF9AE6EC"/>
      </right>
      <top style="thin">
        <color rgb="FF9AE6EC"/>
      </top>
      <bottom style="thin">
        <color rgb="FF9AE6EC"/>
      </bottom>
      <diagonal/>
    </border>
    <border>
      <left style="thin">
        <color rgb="FF9AE6EC"/>
      </left>
      <right/>
      <top/>
      <bottom/>
      <diagonal/>
    </border>
    <border>
      <left style="thin">
        <color rgb="FF9AE6EC"/>
      </left>
      <right style="thin">
        <color rgb="FF9AE6EC"/>
      </right>
      <top/>
      <bottom/>
      <diagonal/>
    </border>
    <border>
      <left style="thin">
        <color rgb="FF9AE6EC"/>
      </left>
      <right style="thin">
        <color rgb="FF9AE6EC"/>
      </right>
      <top/>
      <bottom style="thin">
        <color rgb="FF9AE6EC"/>
      </bottom>
      <diagonal/>
    </border>
    <border>
      <left style="medium">
        <color rgb="FF1E909E"/>
      </left>
      <right style="medium">
        <color rgb="FF1E909E"/>
      </right>
      <top style="medium">
        <color rgb="FF1E909E"/>
      </top>
      <bottom/>
      <diagonal/>
    </border>
    <border>
      <left/>
      <right/>
      <top style="medium">
        <color rgb="FF1E909E"/>
      </top>
      <bottom/>
      <diagonal/>
    </border>
    <border>
      <left style="medium">
        <color rgb="FF1E909E"/>
      </left>
      <right style="medium">
        <color rgb="FF1E909E"/>
      </right>
      <top style="thin">
        <color rgb="FF26B8CA"/>
      </top>
      <bottom style="thin">
        <color rgb="FF26B8CA"/>
      </bottom>
      <diagonal/>
    </border>
    <border>
      <left/>
      <right/>
      <top style="thin">
        <color rgb="FF26B8CA"/>
      </top>
      <bottom/>
      <diagonal/>
    </border>
    <border>
      <left/>
      <right style="medium">
        <color rgb="FF1E909E"/>
      </right>
      <top style="thin">
        <color rgb="FF26B8CA"/>
      </top>
      <bottom/>
      <diagonal/>
    </border>
    <border>
      <left/>
      <right style="thin">
        <color theme="0" tint="-0.499984740745262"/>
      </right>
      <top/>
      <bottom/>
      <diagonal/>
    </border>
  </borders>
  <cellStyleXfs count="27">
    <xf numFmtId="0" fontId="0" fillId="0" borderId="0"/>
    <xf numFmtId="0" fontId="70" fillId="0" borderId="52"/>
    <xf numFmtId="0" fontId="18" fillId="0" borderId="53"/>
    <xf numFmtId="0" fontId="60" fillId="0" borderId="54"/>
    <xf numFmtId="172" fontId="95" fillId="0" borderId="36" applyAlignment="1">
      <alignment horizontal="right" vertical="center" wrapText="1" indent="1"/>
    </xf>
    <xf numFmtId="174" fontId="96" fillId="24" borderId="39" applyAlignment="1">
      <alignment vertical="center"/>
    </xf>
    <xf numFmtId="9" fontId="20" fillId="0" borderId="0" applyAlignment="1">
      <alignment horizontal="right"/>
    </xf>
    <xf numFmtId="0" fontId="97" fillId="0" borderId="0"/>
    <xf numFmtId="0" fontId="98" fillId="0" borderId="55" applyAlignment="1">
      <alignment vertical="center"/>
    </xf>
    <xf numFmtId="0" fontId="14" fillId="0" borderId="13"/>
    <xf numFmtId="0" fontId="35" fillId="0" borderId="0" applyAlignment="1">
      <alignment horizontal="right" vertical="center"/>
    </xf>
    <xf numFmtId="0" fontId="34" fillId="0" borderId="0" applyAlignment="1">
      <alignment horizontal="right" vertical="center"/>
    </xf>
    <xf numFmtId="0" fontId="99" fillId="0" borderId="0"/>
    <xf numFmtId="0" fontId="36" fillId="0" borderId="0" applyAlignment="1">
      <alignment vertical="center"/>
    </xf>
    <xf numFmtId="0" fontId="19" fillId="0" borderId="0" applyAlignment="1">
      <alignment horizontal="right" wrapText="1" indent="1"/>
    </xf>
    <xf numFmtId="0" fontId="100" fillId="0" borderId="0" applyAlignment="1">
      <alignment vertical="center"/>
    </xf>
    <xf numFmtId="0" fontId="12" fillId="0" borderId="0"/>
    <xf numFmtId="0" fontId="19" fillId="0" borderId="0"/>
    <xf numFmtId="0" fontId="1" fillId="0" borderId="0" applyAlignment="1">
      <alignment vertical="center" wrapText="1"/>
    </xf>
    <xf numFmtId="182" fontId="101" fillId="0" borderId="0"/>
    <xf numFmtId="183" fontId="20" fillId="0" borderId="0"/>
    <xf numFmtId="0" fontId="12" fillId="9" borderId="0"/>
    <xf numFmtId="0" fontId="12" fillId="11" borderId="0"/>
    <xf numFmtId="14" fontId="101" fillId="0" borderId="0"/>
    <xf numFmtId="183" fontId="19" fillId="27" borderId="19" applyAlignment="1">
      <alignment horizontal="center"/>
    </xf>
    <xf numFmtId="183" fontId="20" fillId="13" borderId="19"/>
    <xf numFmtId="183" fontId="20" fillId="28" borderId="19"/>
  </cellStyleXfs>
  <cellXfs count="521">
    <xf numFmtId="0" fontId="0" fillId="0" borderId="0" pivotButton="0" quotePrefix="0" xfId="0"/>
    <xf numFmtId="0" fontId="1" fillId="0" borderId="0" applyAlignment="1" pivotButton="0" quotePrefix="0" xfId="18">
      <alignment vertical="center" wrapText="1"/>
    </xf>
    <xf numFmtId="0" fontId="4" fillId="0" borderId="2" applyAlignment="1" applyProtection="1" pivotButton="0" quotePrefix="0" xfId="18">
      <alignment horizontal="center" wrapText="1"/>
      <protection locked="0" hidden="0"/>
    </xf>
    <xf numFmtId="0" fontId="4" fillId="0" borderId="3" applyAlignment="1" applyProtection="1" pivotButton="0" quotePrefix="0" xfId="18">
      <alignment horizontal="center" wrapText="1"/>
      <protection locked="0" hidden="0"/>
    </xf>
    <xf numFmtId="0" fontId="1" fillId="0" borderId="4" applyAlignment="1" applyProtection="1" pivotButton="0" quotePrefix="0" xfId="18">
      <alignment wrapText="1"/>
      <protection locked="0" hidden="0"/>
    </xf>
    <xf numFmtId="49" fontId="1" fillId="0" borderId="5" applyAlignment="1" applyProtection="1" pivotButton="0" quotePrefix="0" xfId="18">
      <alignment horizontal="right"/>
      <protection locked="0" hidden="0"/>
    </xf>
    <xf numFmtId="49" fontId="1" fillId="0" borderId="4" applyAlignment="1" applyProtection="1" pivotButton="0" quotePrefix="0" xfId="18">
      <alignment horizontal="center" wrapText="1"/>
      <protection locked="0" hidden="0"/>
    </xf>
    <xf numFmtId="164" fontId="1" fillId="0" borderId="5" applyAlignment="1" applyProtection="1" pivotButton="0" quotePrefix="0" xfId="18">
      <alignment horizontal="right"/>
      <protection locked="0" hidden="0"/>
    </xf>
    <xf numFmtId="49" fontId="1" fillId="0" borderId="4" applyAlignment="1" applyProtection="1" pivotButton="0" quotePrefix="0" xfId="18">
      <alignment horizontal="right"/>
      <protection locked="0" hidden="0"/>
    </xf>
    <xf numFmtId="49" fontId="1" fillId="0" borderId="4" applyAlignment="1" applyProtection="1" pivotButton="0" quotePrefix="0" xfId="18">
      <alignment horizontal="center"/>
      <protection locked="0" hidden="0"/>
    </xf>
    <xf numFmtId="164" fontId="1" fillId="0" borderId="4" applyAlignment="1" applyProtection="1" pivotButton="0" quotePrefix="0" xfId="18">
      <alignment horizontal="right"/>
      <protection locked="0" hidden="0"/>
    </xf>
    <xf numFmtId="0" fontId="1" fillId="0" borderId="0" applyProtection="1" pivotButton="0" quotePrefix="0" xfId="18">
      <protection locked="0" hidden="0"/>
    </xf>
    <xf numFmtId="0" fontId="5" fillId="0" borderId="4" applyAlignment="1" applyProtection="1" pivotButton="0" quotePrefix="0" xfId="18">
      <alignment wrapText="1"/>
      <protection locked="0" hidden="0"/>
    </xf>
    <xf numFmtId="0" fontId="8" fillId="4" borderId="6" applyAlignment="1" applyProtection="1" pivotButton="0" quotePrefix="0" xfId="18">
      <alignment horizontal="center" vertical="center" wrapText="1"/>
      <protection locked="0" hidden="0"/>
    </xf>
    <xf numFmtId="0" fontId="8" fillId="4" borderId="7" applyAlignment="1" applyProtection="1" pivotButton="0" quotePrefix="0" xfId="18">
      <alignment horizontal="center" vertical="center" wrapText="1"/>
      <protection locked="0" hidden="0"/>
    </xf>
    <xf numFmtId="0" fontId="5" fillId="5" borderId="8" applyAlignment="1" applyProtection="1" pivotButton="0" quotePrefix="0" xfId="18">
      <alignment horizontal="center" vertical="center" wrapText="1"/>
      <protection locked="0" hidden="0"/>
    </xf>
    <xf numFmtId="49" fontId="9" fillId="5" borderId="8" applyAlignment="1" applyProtection="1" pivotButton="0" quotePrefix="0" xfId="18">
      <alignment horizontal="right" vertical="center"/>
      <protection locked="0" hidden="0"/>
    </xf>
    <xf numFmtId="49" fontId="5" fillId="5" borderId="8" applyAlignment="1" applyProtection="1" pivotButton="0" quotePrefix="0" xfId="18">
      <alignment horizontal="center" vertical="center"/>
      <protection locked="0" hidden="0"/>
    </xf>
    <xf numFmtId="164" fontId="9" fillId="5" borderId="8" applyAlignment="1" applyProtection="1" pivotButton="0" quotePrefix="0" xfId="18">
      <alignment horizontal="right" vertical="center"/>
      <protection locked="0" hidden="0"/>
    </xf>
    <xf numFmtId="0" fontId="5" fillId="0" borderId="9" applyAlignment="1" applyProtection="1" pivotButton="0" quotePrefix="0" xfId="18">
      <alignment horizontal="center" vertical="center" wrapText="1"/>
      <protection locked="0" hidden="0"/>
    </xf>
    <xf numFmtId="49" fontId="9" fillId="0" borderId="9" applyAlignment="1" applyProtection="1" pivotButton="0" quotePrefix="0" xfId="18">
      <alignment horizontal="right" vertical="center"/>
      <protection locked="0" hidden="0"/>
    </xf>
    <xf numFmtId="49" fontId="9" fillId="0" borderId="9" applyAlignment="1" applyProtection="1" pivotButton="0" quotePrefix="0" xfId="18">
      <alignment horizontal="center" vertical="center"/>
      <protection locked="0" hidden="0"/>
    </xf>
    <xf numFmtId="164" fontId="9" fillId="0" borderId="9" applyAlignment="1" applyProtection="1" pivotButton="0" quotePrefix="0" xfId="18">
      <alignment horizontal="right" vertical="center"/>
      <protection locked="0" hidden="0"/>
    </xf>
    <xf numFmtId="0" fontId="9" fillId="5" borderId="9" applyAlignment="1" applyProtection="1" pivotButton="0" quotePrefix="0" xfId="18">
      <alignment horizontal="center" vertical="center" wrapText="1"/>
      <protection locked="0" hidden="0"/>
    </xf>
    <xf numFmtId="49" fontId="9" fillId="5" borderId="9" applyAlignment="1" applyProtection="1" pivotButton="0" quotePrefix="0" xfId="18">
      <alignment horizontal="right" vertical="center"/>
      <protection locked="0" hidden="0"/>
    </xf>
    <xf numFmtId="49" fontId="9" fillId="5" borderId="9" applyAlignment="1" applyProtection="1" pivotButton="0" quotePrefix="0" xfId="18">
      <alignment horizontal="center" vertical="center"/>
      <protection locked="0" hidden="0"/>
    </xf>
    <xf numFmtId="164" fontId="9" fillId="5" borderId="9" applyAlignment="1" applyProtection="1" pivotButton="0" quotePrefix="0" xfId="18">
      <alignment horizontal="right" vertical="center"/>
      <protection locked="0" hidden="0"/>
    </xf>
    <xf numFmtId="0" fontId="4" fillId="0" borderId="10" applyAlignment="1" applyProtection="1" pivotButton="0" quotePrefix="0" xfId="18">
      <alignment horizontal="center" wrapText="1"/>
      <protection locked="0" hidden="0"/>
    </xf>
    <xf numFmtId="165" fontId="1" fillId="0" borderId="4" applyAlignment="1" applyProtection="1" pivotButton="0" quotePrefix="0" xfId="18">
      <alignment horizontal="right"/>
      <protection locked="0" hidden="0"/>
    </xf>
    <xf numFmtId="0" fontId="1" fillId="0" borderId="5" applyAlignment="1" applyProtection="1" pivotButton="0" quotePrefix="0" xfId="18">
      <alignment horizontal="right"/>
      <protection locked="0" hidden="0"/>
    </xf>
    <xf numFmtId="165" fontId="1" fillId="6" borderId="4" applyAlignment="1" pivotButton="0" quotePrefix="0" xfId="18">
      <alignment horizontal="right"/>
    </xf>
    <xf numFmtId="0" fontId="1" fillId="0" borderId="4"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8" fillId="4" borderId="11" applyAlignment="1" applyProtection="1" pivotButton="0" quotePrefix="0" xfId="18">
      <alignment horizontal="center" vertical="center" wrapText="1"/>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5" fontId="9" fillId="5" borderId="9" applyAlignment="1" applyProtection="1" pivotButton="0" quotePrefix="0" xfId="18">
      <alignment horizontal="right" vertical="center"/>
      <protection locked="0" hidden="0"/>
    </xf>
    <xf numFmtId="0" fontId="10" fillId="0" borderId="12" pivotButton="0" quotePrefix="0" xfId="16"/>
    <xf numFmtId="0" fontId="11" fillId="0" borderId="0" pivotButton="0" quotePrefix="0" xfId="16"/>
    <xf numFmtId="0" fontId="12" fillId="0" borderId="0" pivotButton="0" quotePrefix="0" xfId="16"/>
    <xf numFmtId="0" fontId="14" fillId="0" borderId="13" applyAlignment="1" pivotButton="0" quotePrefix="0" xfId="9">
      <alignment horizontal="center"/>
    </xf>
    <xf numFmtId="0" fontId="14" fillId="0" borderId="13" applyAlignment="1" pivotButton="0" quotePrefix="0" xfId="9">
      <alignment horizontal="center"/>
    </xf>
    <xf numFmtId="0" fontId="15" fillId="0" borderId="0" applyAlignment="1" pivotButton="0" quotePrefix="0" xfId="16">
      <alignment wrapText="1"/>
    </xf>
    <xf numFmtId="0" fontId="10" fillId="0" borderId="0" pivotButton="0" quotePrefix="0" xfId="16"/>
    <xf numFmtId="0" fontId="16" fillId="0" borderId="14" pivotButton="0" quotePrefix="0" xfId="16"/>
    <xf numFmtId="0" fontId="17" fillId="8" borderId="12" applyAlignment="1" pivotButton="0" quotePrefix="0" xfId="21">
      <alignment wrapText="1"/>
    </xf>
    <xf numFmtId="0" fontId="17" fillId="8" borderId="12" applyAlignment="1" pivotButton="0" quotePrefix="0" xfId="21">
      <alignment horizontal="center"/>
    </xf>
    <xf numFmtId="0" fontId="0" fillId="9" borderId="15" applyAlignment="1" pivotButton="0" quotePrefix="0" xfId="21">
      <alignment wrapText="1"/>
    </xf>
    <xf numFmtId="166" fontId="0" fillId="9" borderId="15" pivotButton="0" quotePrefix="0" xfId="21"/>
    <xf numFmtId="166" fontId="18" fillId="9" borderId="15" pivotButton="0" quotePrefix="0" xfId="21"/>
    <xf numFmtId="0" fontId="0" fillId="9" borderId="16" applyAlignment="1" pivotButton="0" quotePrefix="0" xfId="21">
      <alignment wrapText="1"/>
    </xf>
    <xf numFmtId="166" fontId="0" fillId="9" borderId="16" pivotButton="0" quotePrefix="0" xfId="21"/>
    <xf numFmtId="166" fontId="18" fillId="9" borderId="16" pivotButton="0" quotePrefix="0" xfId="21"/>
    <xf numFmtId="0" fontId="17" fillId="8" borderId="12" applyAlignment="1" pivotButton="0" quotePrefix="0" xfId="0">
      <alignment wrapText="1"/>
    </xf>
    <xf numFmtId="166" fontId="17" fillId="8" borderId="12" pivotButton="0" quotePrefix="0" xfId="0"/>
    <xf numFmtId="0" fontId="12" fillId="0" borderId="0" applyAlignment="1" pivotButton="0" quotePrefix="0" xfId="16">
      <alignment wrapText="1"/>
    </xf>
    <xf numFmtId="0" fontId="14" fillId="0" borderId="13" applyAlignment="1" pivotButton="0" quotePrefix="0" xfId="9">
      <alignment wrapText="1"/>
    </xf>
    <xf numFmtId="166" fontId="14" fillId="0" borderId="13" pivotButton="0" quotePrefix="0" xfId="9"/>
    <xf numFmtId="0" fontId="14" fillId="0" borderId="17" pivotButton="0" quotePrefix="0" xfId="9"/>
    <xf numFmtId="0" fontId="14" fillId="0" borderId="17" applyAlignment="1" pivotButton="0" quotePrefix="0" xfId="9">
      <alignment horizontal="center"/>
    </xf>
    <xf numFmtId="0" fontId="17" fillId="10" borderId="12" applyAlignment="1" pivotButton="0" quotePrefix="0" xfId="22">
      <alignment wrapText="1"/>
    </xf>
    <xf numFmtId="0" fontId="17" fillId="10" borderId="12" applyAlignment="1" pivotButton="0" quotePrefix="0" xfId="22">
      <alignment horizontal="center"/>
    </xf>
    <xf numFmtId="0" fontId="0" fillId="11" borderId="15" applyAlignment="1" pivotButton="0" quotePrefix="0" xfId="22">
      <alignment wrapText="1"/>
    </xf>
    <xf numFmtId="166" fontId="0" fillId="11" borderId="15" pivotButton="0" quotePrefix="0" xfId="22"/>
    <xf numFmtId="166" fontId="18" fillId="11" borderId="15" pivotButton="0" quotePrefix="0" xfId="22"/>
    <xf numFmtId="0" fontId="0" fillId="11" borderId="16" applyAlignment="1" pivotButton="0" quotePrefix="0" xfId="22">
      <alignment wrapText="1"/>
    </xf>
    <xf numFmtId="166" fontId="0" fillId="11" borderId="16" pivotButton="0" quotePrefix="0" xfId="22"/>
    <xf numFmtId="166" fontId="18" fillId="11" borderId="16" pivotButton="0" quotePrefix="0" xfId="22"/>
    <xf numFmtId="0" fontId="17" fillId="10" borderId="12" applyAlignment="1" pivotButton="0" quotePrefix="0" xfId="0">
      <alignment wrapText="1"/>
    </xf>
    <xf numFmtId="166" fontId="17" fillId="10" borderId="12" pivotButton="0" quotePrefix="0" xfId="0"/>
    <xf numFmtId="0" fontId="14" fillId="0" borderId="17" applyAlignment="1" pivotButton="0" quotePrefix="0" xfId="9">
      <alignment horizontal="left" wrapText="1"/>
    </xf>
    <xf numFmtId="166" fontId="14" fillId="0" borderId="17" pivotButton="0" quotePrefix="0" xfId="9"/>
    <xf numFmtId="0" fontId="14" fillId="0" borderId="0" applyAlignment="1" pivotButton="0" quotePrefix="0" xfId="16">
      <alignment horizontal="right"/>
    </xf>
    <xf numFmtId="166" fontId="14" fillId="0" borderId="0" pivotButton="0" quotePrefix="0" xfId="16"/>
    <xf numFmtId="0" fontId="19" fillId="0" borderId="0" applyAlignment="1" pivotButton="0" quotePrefix="0" xfId="17">
      <alignment horizontal="left" vertical="center" indent="1"/>
    </xf>
    <xf numFmtId="0" fontId="19" fillId="0" borderId="0" applyAlignment="1" pivotButton="0" quotePrefix="0" xfId="17">
      <alignment vertical="center"/>
    </xf>
    <xf numFmtId="0" fontId="19" fillId="0" borderId="0" pivotButton="0" quotePrefix="0" xfId="17"/>
    <xf numFmtId="0" fontId="20" fillId="0" borderId="0" pivotButton="0" quotePrefix="0" xfId="17"/>
    <xf numFmtId="0" fontId="21" fillId="0" borderId="0" pivotButton="0" quotePrefix="0" xfId="10"/>
    <xf numFmtId="0" fontId="22" fillId="0" borderId="0" applyAlignment="1" pivotButton="0" quotePrefix="0" xfId="10">
      <alignment horizontal="left" vertical="top" indent="1"/>
    </xf>
    <xf numFmtId="0" fontId="20" fillId="0" borderId="0" applyAlignment="1" pivotButton="0" quotePrefix="0" xfId="17">
      <alignment horizontal="left"/>
    </xf>
    <xf numFmtId="0" fontId="23" fillId="0" borderId="18" applyAlignment="1" pivotButton="0" quotePrefix="0" xfId="13">
      <alignment vertical="top"/>
    </xf>
    <xf numFmtId="0" fontId="19" fillId="0" borderId="18" pivotButton="0" quotePrefix="0" xfId="17"/>
    <xf numFmtId="0" fontId="24" fillId="0" borderId="18" applyAlignment="1" pivotButton="0" quotePrefix="0" xfId="17">
      <alignment vertical="center"/>
    </xf>
    <xf numFmtId="0" fontId="24" fillId="0" borderId="0" applyAlignment="1" pivotButton="0" quotePrefix="0" xfId="17">
      <alignment vertical="center"/>
    </xf>
    <xf numFmtId="0" fontId="25" fillId="0" borderId="0" applyAlignment="1" pivotButton="0" quotePrefix="0" xfId="17">
      <alignment horizontal="left" vertical="center" indent="1"/>
    </xf>
    <xf numFmtId="0" fontId="11" fillId="0" borderId="0" applyAlignment="1" pivotButton="0" quotePrefix="0" xfId="17">
      <alignment horizontal="center" vertical="center"/>
    </xf>
    <xf numFmtId="0" fontId="12" fillId="0" borderId="0" applyAlignment="1" pivotButton="0" quotePrefix="0" xfId="14">
      <alignment horizontal="left" vertical="center" wrapText="1" indent="1"/>
    </xf>
    <xf numFmtId="0" fontId="19" fillId="12" borderId="0" applyAlignment="1" pivotButton="0" quotePrefix="0" xfId="26">
      <alignment horizontal="center" vertical="center"/>
    </xf>
    <xf numFmtId="167" fontId="12" fillId="0" borderId="0" applyAlignment="1" pivotButton="0" quotePrefix="0" xfId="20">
      <alignment horizontal="center" vertical="center"/>
    </xf>
    <xf numFmtId="0" fontId="19" fillId="12" borderId="19" applyAlignment="1" pivotButton="0" quotePrefix="0" xfId="26">
      <alignment horizontal="center" vertical="center"/>
    </xf>
    <xf numFmtId="0" fontId="26" fillId="0" borderId="0" applyAlignment="1" pivotButton="0" quotePrefix="0" xfId="17">
      <alignment horizontal="left" vertical="center" indent="1"/>
    </xf>
    <xf numFmtId="167" fontId="12" fillId="0" borderId="0" applyAlignment="1" pivotButton="0" quotePrefix="0" xfId="17">
      <alignment horizontal="center" vertical="center"/>
    </xf>
    <xf numFmtId="0" fontId="25" fillId="0" borderId="0" applyAlignment="1" pivotButton="0" quotePrefix="0" xfId="17">
      <alignment horizontal="right" vertical="center" indent="1"/>
    </xf>
    <xf numFmtId="167" fontId="11" fillId="0" borderId="0" applyAlignment="1" pivotButton="0" quotePrefix="0" xfId="17">
      <alignment horizontal="center" vertical="center"/>
    </xf>
    <xf numFmtId="0" fontId="19" fillId="0" borderId="0" applyAlignment="1" pivotButton="0" quotePrefix="0" xfId="17">
      <alignment horizontal="center"/>
    </xf>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168" fontId="19" fillId="0" borderId="0" pivotButton="0" quotePrefix="0" xfId="17"/>
    <xf numFmtId="0" fontId="28" fillId="0" borderId="0" applyAlignment="1" pivotButton="0" quotePrefix="0" xfId="17">
      <alignment horizontal="left" vertical="center" indent="1"/>
    </xf>
    <xf numFmtId="0" fontId="28" fillId="0" borderId="0" applyAlignment="1" pivotButton="0" quotePrefix="0" xfId="17">
      <alignment horizontal="right" vertical="center"/>
    </xf>
    <xf numFmtId="0" fontId="29" fillId="0" borderId="18" pivotButton="0" quotePrefix="0" xfId="17"/>
    <xf numFmtId="0" fontId="29" fillId="0" borderId="0" pivotButton="0" quotePrefix="0" xfId="17"/>
    <xf numFmtId="9" fontId="12" fillId="0" borderId="0" applyAlignment="1" pivotButton="0" quotePrefix="0" xfId="6">
      <alignment horizontal="center" vertical="center"/>
    </xf>
    <xf numFmtId="9" fontId="27" fillId="12" borderId="21" applyAlignment="1" pivotButton="0" quotePrefix="0" xfId="6">
      <alignment horizontal="center" vertical="center"/>
    </xf>
    <xf numFmtId="9" fontId="27" fillId="12" borderId="20" applyAlignment="1" pivotButton="0" quotePrefix="0" xfId="6">
      <alignment horizontal="center" vertical="center"/>
    </xf>
    <xf numFmtId="9" fontId="12" fillId="0" borderId="0" applyAlignment="1" pivotButton="0" quotePrefix="0" xfId="17">
      <alignment horizontal="center" vertical="center"/>
    </xf>
    <xf numFmtId="9" fontId="27" fillId="12" borderId="19" applyAlignment="1" pivotButton="0" quotePrefix="0" xfId="6">
      <alignment horizontal="center" vertical="center"/>
    </xf>
    <xf numFmtId="9" fontId="11" fillId="0" borderId="0" applyAlignment="1" pivotButton="0" quotePrefix="0" xfId="17">
      <alignment horizontal="center" vertical="center"/>
    </xf>
    <xf numFmtId="0" fontId="30" fillId="0" borderId="0" applyAlignment="1" pivotButton="0" quotePrefix="0" xfId="17">
      <alignment horizontal="left" vertical="center" indent="1"/>
    </xf>
    <xf numFmtId="0" fontId="31" fillId="0" borderId="0" applyAlignment="1" pivotButton="0" quotePrefix="0" xfId="17">
      <alignment horizontal="left" vertical="center" indent="1"/>
    </xf>
    <xf numFmtId="0" fontId="30" fillId="0" borderId="0" applyAlignment="1" pivotButton="0" quotePrefix="0" xfId="17">
      <alignment horizontal="right" vertical="center"/>
    </xf>
    <xf numFmtId="0" fontId="31" fillId="0" borderId="0" applyAlignment="1" pivotButton="0" quotePrefix="0" xfId="17">
      <alignment horizontal="right" vertical="center"/>
    </xf>
    <xf numFmtId="0" fontId="32" fillId="0" borderId="0" applyAlignment="1" pivotButton="0" quotePrefix="0" xfId="8">
      <alignment horizontal="right" vertical="center" indent="1"/>
    </xf>
    <xf numFmtId="0" fontId="33" fillId="0" borderId="18" pivotButton="0" quotePrefix="0" xfId="17"/>
    <xf numFmtId="0" fontId="34" fillId="0" borderId="0" applyAlignment="1" pivotButton="0" quotePrefix="0" xfId="11">
      <alignment horizontal="right" vertical="center"/>
    </xf>
    <xf numFmtId="9" fontId="27" fillId="12" borderId="0" applyAlignment="1" pivotButton="0" quotePrefix="0" xfId="6">
      <alignment horizontal="center" vertical="center"/>
    </xf>
    <xf numFmtId="0" fontId="12" fillId="0" borderId="0" pivotButton="0" quotePrefix="0" xfId="17"/>
    <xf numFmtId="0" fontId="19" fillId="0" borderId="0" applyAlignment="1" pivotButton="0" quotePrefix="0" xfId="17">
      <alignment horizontal="left" indent="1"/>
    </xf>
    <xf numFmtId="0" fontId="21" fillId="0" borderId="0" applyAlignment="1" pivotButton="0" quotePrefix="0" xfId="10">
      <alignment horizontal="left"/>
    </xf>
    <xf numFmtId="0" fontId="23" fillId="0" borderId="0" applyAlignment="1" pivotButton="0" quotePrefix="0" xfId="13">
      <alignment horizontal="left" vertical="top"/>
    </xf>
    <xf numFmtId="0" fontId="19" fillId="13" borderId="0" applyAlignment="1" pivotButton="0" quotePrefix="0" xfId="25">
      <alignment horizontal="left" vertical="center" indent="1"/>
    </xf>
    <xf numFmtId="0" fontId="19" fillId="13" borderId="19" applyAlignment="1" pivotButton="0" quotePrefix="0" xfId="25">
      <alignment horizontal="left" vertical="center" indent="1"/>
    </xf>
    <xf numFmtId="0" fontId="19" fillId="13" borderId="20" applyAlignment="1" pivotButton="0" quotePrefix="0" xfId="25">
      <alignment horizontal="left" vertical="center" indent="1"/>
    </xf>
    <xf numFmtId="0" fontId="19" fillId="13" borderId="0" applyAlignment="1" pivotButton="0" quotePrefix="0" xfId="17">
      <alignment horizontal="left" vertical="center" indent="1"/>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13" borderId="0" applyAlignment="1" pivotButton="0" quotePrefix="0" xfId="17">
      <alignment horizontal="center" vertical="center"/>
    </xf>
    <xf numFmtId="9" fontId="12" fillId="13" borderId="0" applyAlignment="1" pivotButton="0" quotePrefix="0" xfId="25">
      <alignment horizontal="center" vertical="center"/>
    </xf>
    <xf numFmtId="9" fontId="12" fillId="13" borderId="19" applyAlignment="1" pivotButton="0" quotePrefix="0" xfId="25">
      <alignment horizontal="center" vertical="center"/>
    </xf>
    <xf numFmtId="9" fontId="12" fillId="13" borderId="20" applyAlignment="1" pivotButton="0" quotePrefix="0" xfId="25">
      <alignment horizontal="center" vertical="center"/>
    </xf>
    <xf numFmtId="9" fontId="12" fillId="13" borderId="0" applyAlignment="1" pivotButton="0" quotePrefix="0" xfId="17">
      <alignment horizontal="center" vertical="center"/>
    </xf>
    <xf numFmtId="0" fontId="35" fillId="0" borderId="0" applyAlignment="1" pivotButton="0" quotePrefix="0" xfId="10">
      <alignment horizontal="right" vertical="center"/>
    </xf>
    <xf numFmtId="0" fontId="34" fillId="0" borderId="18" applyAlignment="1" pivotButton="0" quotePrefix="0" xfId="11">
      <alignment horizontal="right" vertical="center"/>
    </xf>
    <xf numFmtId="0" fontId="23" fillId="0" borderId="18" applyAlignment="1" pivotButton="0" quotePrefix="0" xfId="13">
      <alignment vertical="top"/>
    </xf>
    <xf numFmtId="0" fontId="36" fillId="0" borderId="0" applyAlignment="1" pivotButton="0" quotePrefix="0" xfId="13">
      <alignment vertical="center"/>
    </xf>
    <xf numFmtId="0" fontId="37" fillId="14" borderId="0" applyAlignment="1" pivotButton="0" quotePrefix="0" xfId="17">
      <alignment horizontal="left" vertical="center" indent="1"/>
    </xf>
    <xf numFmtId="0" fontId="12" fillId="14" borderId="0" applyAlignment="1" pivotButton="0" quotePrefix="0" xfId="17">
      <alignment horizontal="center" vertical="center"/>
    </xf>
    <xf numFmtId="0" fontId="12" fillId="14" borderId="0" applyAlignment="1" pivotButton="0" quotePrefix="0" xfId="24">
      <alignment horizontal="left" vertical="center" indent="1"/>
    </xf>
    <xf numFmtId="167" fontId="27" fillId="0" borderId="0" applyAlignment="1" pivotButton="0" quotePrefix="0" xfId="20">
      <alignment horizontal="center" vertical="center"/>
    </xf>
    <xf numFmtId="0" fontId="12" fillId="14" borderId="19" applyAlignment="1" pivotButton="0" quotePrefix="0" xfId="24">
      <alignment horizontal="left" vertical="center" indent="1"/>
    </xf>
    <xf numFmtId="0" fontId="38" fillId="0" borderId="0" applyAlignment="1" pivotButton="0" quotePrefix="0" xfId="17">
      <alignment horizontal="left"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9" fontId="27" fillId="0" borderId="0" applyAlignment="1" pivotButton="0" quotePrefix="0" xfId="6">
      <alignment horizontal="center" vertical="center"/>
    </xf>
    <xf numFmtId="9" fontId="27" fillId="14" borderId="0" applyAlignment="1" pivotButton="0" quotePrefix="0" xfId="6">
      <alignment horizontal="center" vertical="center"/>
    </xf>
    <xf numFmtId="9" fontId="27" fillId="14" borderId="19" applyAlignment="1" pivotButton="0" quotePrefix="0" xfId="6">
      <alignment horizontal="center" vertical="center"/>
    </xf>
    <xf numFmtId="0" fontId="39" fillId="0" borderId="0" applyAlignment="1" pivotButton="0" quotePrefix="0" xfId="17">
      <alignment vertical="center"/>
    </xf>
    <xf numFmtId="0" fontId="12" fillId="0" borderId="0" applyAlignment="1" pivotButton="0" quotePrefix="0" xfId="17">
      <alignment vertical="center"/>
    </xf>
    <xf numFmtId="0" fontId="40" fillId="0" borderId="0" pivotButton="0" quotePrefix="0" xfId="17"/>
    <xf numFmtId="169" fontId="12" fillId="0" borderId="0" pivotButton="0" quotePrefix="0" xfId="17"/>
    <xf numFmtId="169" fontId="12" fillId="0" borderId="0" applyAlignment="1" pivotButton="0" quotePrefix="0" xfId="17">
      <alignment horizontal="left" indent="1"/>
    </xf>
    <xf numFmtId="0" fontId="12" fillId="15" borderId="0" pivotButton="0" quotePrefix="0" xfId="17"/>
    <xf numFmtId="0" fontId="12" fillId="14" borderId="0" pivotButton="0" quotePrefix="0" xfId="17"/>
    <xf numFmtId="0" fontId="40" fillId="14" borderId="0" pivotButton="0" quotePrefix="0" xfId="17"/>
    <xf numFmtId="170" fontId="12" fillId="14" borderId="0" pivotButton="0" quotePrefix="0" xfId="17"/>
    <xf numFmtId="170" fontId="12" fillId="14" borderId="0" applyAlignment="1" pivotButton="0" quotePrefix="0" xfId="17">
      <alignment horizontal="left" indent="1"/>
    </xf>
    <xf numFmtId="0" fontId="39" fillId="15" borderId="0" applyAlignment="1" pivotButton="0" quotePrefix="0" xfId="17">
      <alignment vertical="center"/>
    </xf>
    <xf numFmtId="0" fontId="39" fillId="14" borderId="0" applyAlignment="1" pivotButton="0" quotePrefix="0" xfId="17">
      <alignment vertical="center"/>
    </xf>
    <xf numFmtId="0" fontId="43" fillId="14" borderId="22" applyAlignment="1" pivotButton="0" quotePrefix="0" xfId="17">
      <alignment vertical="center"/>
    </xf>
    <xf numFmtId="0" fontId="44" fillId="14" borderId="22" applyAlignment="1" pivotButton="0" quotePrefix="0" xfId="17">
      <alignment vertical="center"/>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0" fontId="12" fillId="15" borderId="0" applyAlignment="1" pivotButton="0" quotePrefix="0" xfId="17">
      <alignment vertical="center"/>
    </xf>
    <xf numFmtId="0" fontId="12" fillId="14" borderId="0" applyAlignment="1" pivotButton="0" quotePrefix="0" xfId="17">
      <alignment vertical="center"/>
    </xf>
    <xf numFmtId="0" fontId="40" fillId="14" borderId="0" applyAlignment="1" pivotButton="0" quotePrefix="0" xfId="17">
      <alignment vertical="center"/>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0" fontId="40" fillId="14" borderId="0" applyAlignment="1" pivotButton="0" quotePrefix="0" xfId="17">
      <alignment horizontal="right" vertical="center"/>
    </xf>
    <xf numFmtId="0" fontId="40" fillId="14" borderId="0" applyAlignment="1" pivotButton="0" quotePrefix="0" xfId="17">
      <alignment vertical="center" wrapText="1"/>
    </xf>
    <xf numFmtId="0" fontId="45" fillId="14" borderId="0" applyAlignment="1" pivotButton="0" quotePrefix="0" xfId="17">
      <alignment horizontal="lef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0" fontId="40" fillId="14" borderId="0" applyAlignment="1" pivotButton="0" quotePrefix="0" xfId="17">
      <alignment horizontal="right"/>
    </xf>
    <xf numFmtId="170" fontId="12" fillId="14" borderId="24" pivotButton="0" quotePrefix="0" xfId="17"/>
    <xf numFmtId="0" fontId="46" fillId="14" borderId="0" pivotButton="0" quotePrefix="0" xfId="17"/>
    <xf numFmtId="170" fontId="27" fillId="14" borderId="23" applyAlignment="1" pivotButton="0" quotePrefix="0" xfId="17">
      <alignment horizontal="left" vertical="center" indent="1"/>
    </xf>
    <xf numFmtId="0" fontId="39" fillId="14" borderId="22" applyAlignment="1" pivotButton="0" quotePrefix="0" xfId="17">
      <alignment vertical="center"/>
    </xf>
    <xf numFmtId="0" fontId="47" fillId="0" borderId="0" pivotButton="0" quotePrefix="0" xfId="0"/>
    <xf numFmtId="0" fontId="48" fillId="0" borderId="0" pivotButton="0" quotePrefix="0" xfId="0"/>
    <xf numFmtId="0" fontId="49" fillId="0" borderId="0" pivotButton="0" quotePrefix="0" xfId="0"/>
    <xf numFmtId="0" fontId="38" fillId="0" borderId="0" pivotButton="0" quotePrefix="0" xfId="0"/>
    <xf numFmtId="0" fontId="19" fillId="0" borderId="0" pivotButton="0" quotePrefix="0" xfId="0"/>
    <xf numFmtId="0" fontId="38" fillId="0" borderId="0" applyAlignment="1" pivotButton="0" quotePrefix="0" xfId="0">
      <alignment wrapText="1"/>
    </xf>
    <xf numFmtId="0" fontId="11" fillId="0" borderId="0" pivotButton="0" quotePrefix="0" xfId="0"/>
    <xf numFmtId="0" fontId="18" fillId="0" borderId="0" applyAlignment="1" pivotButton="0" quotePrefix="0" xfId="2">
      <alignment vertical="center" wrapText="1"/>
    </xf>
    <xf numFmtId="0" fontId="54" fillId="16" borderId="27" applyAlignment="1" pivotButton="0" quotePrefix="0" xfId="2">
      <alignment horizontal="left" vertical="center" indent="1"/>
    </xf>
    <xf numFmtId="171" fontId="54" fillId="16" borderId="28" applyAlignment="1" pivotButton="0" quotePrefix="0" xfId="0">
      <alignment horizontal="center" vertical="center"/>
    </xf>
    <xf numFmtId="0" fontId="54" fillId="16" borderId="29" applyAlignment="1" pivotButton="0" quotePrefix="0" xfId="2">
      <alignment horizontal="left" vertical="center" indent="1"/>
    </xf>
    <xf numFmtId="171" fontId="54" fillId="16" borderId="30" applyAlignment="1" pivotButton="0" quotePrefix="0" xfId="0">
      <alignment horizontal="center" vertical="center"/>
    </xf>
    <xf numFmtId="0" fontId="57" fillId="19" borderId="31" applyAlignment="1" pivotButton="0" quotePrefix="0" xfId="2">
      <alignment horizontal="left" vertical="center" indent="1"/>
    </xf>
    <xf numFmtId="171" fontId="58" fillId="19" borderId="32" applyAlignment="1" pivotButton="0" quotePrefix="0" xfId="0">
      <alignment horizontal="center" vertical="center"/>
    </xf>
    <xf numFmtId="0" fontId="54" fillId="16" borderId="33" applyAlignment="1" pivotButton="0" quotePrefix="0" xfId="2">
      <alignment horizontal="left" vertical="center" indent="1"/>
    </xf>
    <xf numFmtId="171" fontId="54" fillId="16" borderId="34" applyAlignment="1" pivotButton="0" quotePrefix="0" xfId="0">
      <alignment horizontal="center" vertical="center"/>
    </xf>
    <xf numFmtId="0" fontId="18" fillId="0" borderId="0" applyAlignment="1" pivotButton="0" quotePrefix="0" xfId="2">
      <alignment vertical="center"/>
    </xf>
    <xf numFmtId="171" fontId="60" fillId="0" borderId="0" applyAlignment="1" pivotButton="0" quotePrefix="0" xfId="0">
      <alignment vertical="center"/>
    </xf>
    <xf numFmtId="0" fontId="61" fillId="16" borderId="0" applyAlignment="1" pivotButton="0" quotePrefix="0" xfId="2">
      <alignment vertical="center"/>
    </xf>
    <xf numFmtId="171" fontId="62" fillId="16" borderId="0" applyAlignment="1" pivotButton="0" quotePrefix="0" xfId="0">
      <alignment vertical="center"/>
    </xf>
    <xf numFmtId="0" fontId="63" fillId="0" borderId="0" pivotButton="0" quotePrefix="0" xfId="0"/>
    <xf numFmtId="0" fontId="51" fillId="16" borderId="0" applyAlignment="1" pivotButton="0" quotePrefix="0" xfId="2">
      <alignment horizontal="left" vertical="center" indent="1"/>
    </xf>
    <xf numFmtId="0" fontId="59" fillId="0" borderId="0" applyAlignment="1" pivotButton="0" quotePrefix="0" xfId="0">
      <alignment horizontal="left" vertical="center" indent="1"/>
    </xf>
    <xf numFmtId="0" fontId="64" fillId="0" borderId="0" applyAlignment="1" pivotButton="0" quotePrefix="0" xfId="0">
      <alignment horizontal="left" vertical="center" indent="1"/>
    </xf>
    <xf numFmtId="0" fontId="51" fillId="0" borderId="0" applyAlignment="1" pivotButton="0" quotePrefix="0" xfId="0">
      <alignment horizontal="left" vertical="center" indent="1"/>
    </xf>
    <xf numFmtId="0" fontId="25" fillId="0" borderId="0" applyAlignment="1" pivotButton="0" quotePrefix="0" xfId="0">
      <alignment horizontal="left" vertical="center" indent="1"/>
    </xf>
    <xf numFmtId="0" fontId="57" fillId="0" borderId="0" applyAlignment="1" pivotButton="0" quotePrefix="0" xfId="0">
      <alignment horizontal="center" vertical="center" wrapText="1"/>
    </xf>
    <xf numFmtId="0" fontId="57" fillId="0" borderId="0" applyAlignment="1" pivotButton="0" quotePrefix="0" xfId="0">
      <alignment horizontal="center" vertical="center"/>
    </xf>
    <xf numFmtId="0" fontId="65" fillId="0" borderId="0" pivotButton="0" quotePrefix="0" xfId="0"/>
    <xf numFmtId="0" fontId="66" fillId="16" borderId="0" applyAlignment="1" pivotButton="0" quotePrefix="0" xfId="0">
      <alignment horizontal="left" vertical="center" indent="1"/>
    </xf>
    <xf numFmtId="0" fontId="57" fillId="16" borderId="0" applyAlignment="1" pivotButton="0" quotePrefix="0" xfId="0">
      <alignment horizontal="center" vertical="center" wrapText="1"/>
    </xf>
    <xf numFmtId="0" fontId="54" fillId="0" borderId="0" applyAlignment="1" pivotButton="0" quotePrefix="0" xfId="0">
      <alignment horizontal="left" vertical="center" indent="1"/>
    </xf>
    <xf numFmtId="168" fontId="54" fillId="0" borderId="0" applyAlignment="1" pivotButton="0" quotePrefix="0" xfId="0">
      <alignment horizontal="center" vertical="center"/>
    </xf>
    <xf numFmtId="0" fontId="54" fillId="16" borderId="0" applyAlignment="1" pivotButton="0" quotePrefix="0" xfId="0">
      <alignment horizontal="left" vertical="center" indent="1"/>
    </xf>
    <xf numFmtId="168" fontId="54" fillId="16" borderId="0" applyAlignment="1" pivotButton="0" quotePrefix="0" xfId="0">
      <alignment horizontal="center" vertical="center"/>
    </xf>
    <xf numFmtId="0" fontId="57" fillId="19" borderId="0" applyAlignment="1" pivotButton="0" quotePrefix="0" xfId="0">
      <alignment horizontal="left" vertical="center" indent="1"/>
    </xf>
    <xf numFmtId="168" fontId="37" fillId="19" borderId="0" applyAlignment="1" pivotButton="0" quotePrefix="0" xfId="0">
      <alignment horizontal="center" vertical="center"/>
    </xf>
    <xf numFmtId="0" fontId="57" fillId="0" borderId="0" applyAlignment="1" pivotButton="0" quotePrefix="0" xfId="0">
      <alignment horizontal="left" vertical="center" indent="1"/>
    </xf>
    <xf numFmtId="168" fontId="61" fillId="0" borderId="0" applyAlignment="1" pivotButton="0" quotePrefix="0" xfId="0">
      <alignment horizontal="center" vertical="center"/>
    </xf>
    <xf numFmtId="0" fontId="65" fillId="0" borderId="0" applyAlignment="1" pivotButton="0" quotePrefix="0" xfId="0">
      <alignment horizontal="center"/>
    </xf>
    <xf numFmtId="0" fontId="67" fillId="16" borderId="0" applyAlignment="1" pivotButton="0" quotePrefix="0" xfId="0">
      <alignment horizontal="left" vertical="center" indent="1"/>
    </xf>
    <xf numFmtId="168" fontId="65" fillId="16" borderId="0" applyAlignment="1" pivotButton="0" quotePrefix="0" xfId="0">
      <alignment horizontal="center" vertical="center"/>
    </xf>
    <xf numFmtId="0" fontId="66" fillId="16" borderId="0" applyAlignment="1" pivotButton="0" quotePrefix="0" xfId="0">
      <alignment horizontal="center" vertical="center"/>
    </xf>
    <xf numFmtId="0" fontId="57" fillId="16" borderId="0" applyAlignment="1" pivotButton="0" quotePrefix="0" xfId="0">
      <alignment horizontal="center" vertical="center"/>
    </xf>
    <xf numFmtId="0" fontId="25" fillId="16" borderId="0" applyAlignment="1" pivotButton="0" quotePrefix="0" xfId="0">
      <alignment horizontal="left" vertical="center" indent="1"/>
    </xf>
    <xf numFmtId="168" fontId="65" fillId="19" borderId="0" applyAlignment="1" pivotButton="0" quotePrefix="0" xfId="0">
      <alignment horizontal="center" vertical="center"/>
    </xf>
    <xf numFmtId="168" fontId="58" fillId="19" borderId="0" applyAlignment="1" pivotButton="0" quotePrefix="0" xfId="0">
      <alignment horizontal="center" vertical="center"/>
    </xf>
    <xf numFmtId="168" fontId="65" fillId="16" borderId="0" applyAlignment="1" pivotButton="0" quotePrefix="0" xfId="0">
      <alignment horizontal="left" vertical="center" indent="1"/>
    </xf>
    <xf numFmtId="0" fontId="67" fillId="16" borderId="0" applyAlignment="1" pivotButton="0" quotePrefix="0" xfId="0">
      <alignment vertical="center"/>
    </xf>
    <xf numFmtId="168" fontId="65" fillId="16" borderId="0" applyAlignment="1" pivotButton="0" quotePrefix="0" xfId="0">
      <alignment vertical="center"/>
    </xf>
    <xf numFmtId="168" fontId="54" fillId="19" borderId="0" applyAlignment="1" pivotButton="0" quotePrefix="0" xfId="0">
      <alignment horizontal="center" vertical="center"/>
    </xf>
    <xf numFmtId="0" fontId="58" fillId="16" borderId="0" applyAlignment="1" pivotButton="0" quotePrefix="0" xfId="0">
      <alignment horizontal="left" vertical="center" indent="1"/>
    </xf>
    <xf numFmtId="168" fontId="54" fillId="16" borderId="0" applyAlignment="1" pivotButton="0" quotePrefix="0" xfId="0">
      <alignment horizontal="left" vertical="center"/>
    </xf>
    <xf numFmtId="0" fontId="68" fillId="16" borderId="0" applyAlignment="1" pivotButton="0" quotePrefix="0" xfId="0">
      <alignment horizontal="left" vertical="center" indent="1"/>
    </xf>
    <xf numFmtId="0" fontId="69" fillId="16" borderId="0" applyAlignment="1" pivotButton="0" quotePrefix="0" xfId="0">
      <alignment horizontal="left" vertical="center" indent="1"/>
    </xf>
    <xf numFmtId="0" fontId="69" fillId="0" borderId="0" applyAlignment="1" pivotButton="0" quotePrefix="0" xfId="0">
      <alignment vertical="center"/>
    </xf>
    <xf numFmtId="168" fontId="65" fillId="0" borderId="0" applyAlignment="1" pivotButton="0" quotePrefix="0" xfId="0">
      <alignment vertical="center"/>
    </xf>
    <xf numFmtId="0" fontId="66" fillId="16"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0" fontId="69" fillId="16" borderId="0" applyAlignment="1" pivotButton="0" quotePrefix="0" xfId="0">
      <alignment vertical="center"/>
    </xf>
    <xf numFmtId="0" fontId="65" fillId="16" borderId="0" applyAlignment="1" pivotButton="0" quotePrefix="0" xfId="0">
      <alignment horizontal="left" vertical="center" indent="1"/>
    </xf>
    <xf numFmtId="0" fontId="70" fillId="16" borderId="0" pivotButton="0" quotePrefix="0" xfId="1"/>
    <xf numFmtId="0" fontId="18" fillId="0" borderId="0" applyAlignment="1" pivotButton="0" quotePrefix="0" xfId="2">
      <alignment horizontal="left" vertical="center"/>
    </xf>
    <xf numFmtId="0" fontId="0" fillId="0" borderId="0" applyAlignment="1" pivotButton="0" quotePrefix="0" xfId="0">
      <alignment horizontal="center"/>
    </xf>
    <xf numFmtId="0" fontId="71" fillId="0" borderId="0" pivotButton="0" quotePrefix="0" xfId="15"/>
    <xf numFmtId="0" fontId="71" fillId="0" borderId="0" applyAlignment="1" pivotButton="0" quotePrefix="0" xfId="15">
      <alignment vertical="center"/>
    </xf>
    <xf numFmtId="0" fontId="72" fillId="0" borderId="35" pivotButton="0" quotePrefix="0" xfId="12"/>
    <xf numFmtId="0" fontId="71" fillId="0" borderId="35" applyAlignment="1" pivotButton="0" quotePrefix="0" xfId="15">
      <alignment vertical="center"/>
    </xf>
    <xf numFmtId="0" fontId="73" fillId="0" borderId="35" applyAlignment="1" pivotButton="0" quotePrefix="0" xfId="15">
      <alignment horizontal="right"/>
    </xf>
    <xf numFmtId="0" fontId="74" fillId="0" borderId="0" pivotButton="0" quotePrefix="0" xfId="7"/>
    <xf numFmtId="3" fontId="75" fillId="0" borderId="36" applyAlignment="1" pivotButton="0" quotePrefix="0" xfId="15">
      <alignment horizontal="right" wrapText="1" indent="1"/>
    </xf>
    <xf numFmtId="172" fontId="76" fillId="0" borderId="36" applyAlignment="1" pivotButton="0" quotePrefix="0" xfId="4">
      <alignment horizontal="right" vertical="center" wrapText="1" indent="1"/>
    </xf>
    <xf numFmtId="14" fontId="40" fillId="0" borderId="0" applyAlignment="1" pivotButton="0" quotePrefix="0" xfId="15">
      <alignment horizontal="left" vertical="center" indent="1"/>
    </xf>
    <xf numFmtId="3" fontId="40" fillId="0" borderId="37" applyAlignment="1" pivotButton="0" quotePrefix="0" xfId="15">
      <alignment horizontal="right" wrapText="1" indent="1"/>
    </xf>
    <xf numFmtId="173" fontId="40" fillId="0" borderId="37" applyAlignment="1" pivotButton="0" quotePrefix="0" xfId="15">
      <alignment horizontal="right" wrapText="1" indent="1"/>
    </xf>
    <xf numFmtId="3" fontId="40" fillId="0" borderId="0" applyAlignment="1" pivotButton="0" quotePrefix="0" xfId="15">
      <alignment horizontal="right" wrapText="1" indent="1"/>
    </xf>
    <xf numFmtId="173" fontId="75" fillId="0" borderId="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0" fontId="78" fillId="0" borderId="0" applyAlignment="1" pivotButton="0" quotePrefix="0" xfId="7">
      <alignment vertical="center"/>
    </xf>
    <xf numFmtId="174" fontId="79" fillId="0" borderId="0" applyAlignment="1" pivotButton="0" quotePrefix="0" xfId="15">
      <alignment horizontal="left" vertical="center" indent="1"/>
    </xf>
    <xf numFmtId="0" fontId="71" fillId="16" borderId="20" applyAlignment="1" pivotButton="0" quotePrefix="0" xfId="15">
      <alignment vertical="center"/>
    </xf>
    <xf numFmtId="174" fontId="71" fillId="0" borderId="0" applyAlignment="1" pivotButton="0" quotePrefix="0" xfId="15">
      <alignment horizontal="right" vertical="center"/>
    </xf>
    <xf numFmtId="0" fontId="71" fillId="16" borderId="19" applyAlignment="1" pivotButton="0" quotePrefix="0" xfId="15">
      <alignment vertical="center"/>
    </xf>
    <xf numFmtId="174" fontId="12" fillId="0" borderId="0" applyAlignment="1" pivotButton="0" quotePrefix="0" xfId="0">
      <alignment horizontal="left" vertical="center" indent="1"/>
    </xf>
    <xf numFmtId="0" fontId="71" fillId="16" borderId="40" applyAlignment="1" pivotButton="0" quotePrefix="0" xfId="0">
      <alignment vertical="center"/>
    </xf>
    <xf numFmtId="174" fontId="71" fillId="0" borderId="0" applyAlignment="1" pivotButton="0" quotePrefix="0" xfId="0">
      <alignment vertical="center"/>
    </xf>
    <xf numFmtId="174" fontId="78" fillId="24" borderId="38" applyAlignment="1" pivotButton="0" quotePrefix="0" xfId="7">
      <alignment horizontal="left" vertical="center"/>
    </xf>
    <xf numFmtId="0" fontId="71" fillId="16" borderId="0" applyAlignment="1" pivotButton="0" quotePrefix="0" xfId="15">
      <alignment vertical="center"/>
    </xf>
    <xf numFmtId="174" fontId="40" fillId="24" borderId="39" applyAlignment="1" pivotButton="0" quotePrefix="0" xfId="5">
      <alignment vertical="center"/>
    </xf>
    <xf numFmtId="0" fontId="71" fillId="0" borderId="0" applyAlignment="1" pivotButton="0" quotePrefix="0" xfId="15">
      <alignment horizontal="left" vertical="center" indent="1"/>
    </xf>
    <xf numFmtId="174" fontId="71" fillId="0" borderId="0" applyAlignment="1" pivotButton="0" quotePrefix="0" xfId="15">
      <alignment vertical="center"/>
    </xf>
    <xf numFmtId="0" fontId="78" fillId="0" borderId="0" applyAlignment="1" pivotButton="0" quotePrefix="0" xfId="7">
      <alignment horizontal="left"/>
    </xf>
    <xf numFmtId="0" fontId="79" fillId="0" borderId="0" applyAlignment="1" pivotButton="0" quotePrefix="0" xfId="15">
      <alignment horizontal="left" vertical="center" indent="1"/>
    </xf>
    <xf numFmtId="0" fontId="71" fillId="0" borderId="0" applyAlignment="1" pivotButton="0" quotePrefix="0" xfId="0">
      <alignment horizontal="left" vertical="center" indent="1"/>
    </xf>
    <xf numFmtId="0" fontId="71" fillId="16" borderId="20" applyAlignment="1" pivotButton="0" quotePrefix="0" xfId="0">
      <alignment vertical="center"/>
    </xf>
    <xf numFmtId="0" fontId="71" fillId="16" borderId="21" applyAlignment="1" pivotButton="0" quotePrefix="0" xfId="15">
      <alignment vertical="center"/>
    </xf>
    <xf numFmtId="172" fontId="80" fillId="16" borderId="41" applyAlignment="1" pivotButton="0" quotePrefix="0" xfId="15">
      <alignment horizontal="right" vertical="center" wrapText="1" indent="1"/>
    </xf>
    <xf numFmtId="3" fontId="80" fillId="0" borderId="36" applyAlignment="1" pivotButton="0" quotePrefix="0" xfId="15">
      <alignment horizontal="right" vertical="center" wrapText="1" indent="1"/>
    </xf>
    <xf numFmtId="173" fontId="75" fillId="16" borderId="41" applyAlignment="1" pivotButton="0" quotePrefix="0" xfId="15">
      <alignment horizontal="right" wrapText="1" indent="1"/>
    </xf>
    <xf numFmtId="173" fontId="75" fillId="16" borderId="20" applyAlignment="1" pivotButton="0" quotePrefix="0" xfId="15">
      <alignment horizontal="right" wrapText="1" indent="1"/>
    </xf>
    <xf numFmtId="3" fontId="75" fillId="0" borderId="0" applyAlignment="1" pivotButton="0" quotePrefix="0" xfId="15">
      <alignment horizontal="right" wrapText="1" indent="1"/>
    </xf>
    <xf numFmtId="174" fontId="40" fillId="16" borderId="41" applyAlignment="1" pivotButton="0" quotePrefix="0" xfId="15">
      <alignment horizontal="right"/>
    </xf>
    <xf numFmtId="0" fontId="73" fillId="0" borderId="39" applyAlignment="1" pivotButton="0" quotePrefix="0" xfId="15">
      <alignment vertical="center"/>
    </xf>
    <xf numFmtId="174" fontId="71" fillId="16" borderId="20" applyAlignment="1" pivotButton="0" quotePrefix="0" xfId="15">
      <alignment vertical="center"/>
    </xf>
    <xf numFmtId="174" fontId="71" fillId="16" borderId="20" applyAlignment="1" pivotButton="0" quotePrefix="0" xfId="0">
      <alignment vertical="center"/>
    </xf>
    <xf numFmtId="0" fontId="71" fillId="0" borderId="0" applyAlignment="1" pivotButton="0" quotePrefix="0" xfId="0">
      <alignment vertical="center"/>
    </xf>
    <xf numFmtId="174" fontId="40" fillId="16" borderId="42" applyAlignment="1" pivotButton="0" quotePrefix="0" xfId="15">
      <alignment vertical="center"/>
    </xf>
    <xf numFmtId="0" fontId="71" fillId="0" borderId="39" applyAlignment="1" pivotButton="0" quotePrefix="0" xfId="15">
      <alignment vertical="center"/>
    </xf>
    <xf numFmtId="3" fontId="71" fillId="0" borderId="0" applyAlignment="1" pivotButton="0" quotePrefix="0" xfId="15">
      <alignment vertical="center"/>
    </xf>
    <xf numFmtId="0" fontId="71" fillId="0" borderId="0" pivotButton="0" quotePrefix="0" xfId="0"/>
    <xf numFmtId="3" fontId="71" fillId="16" borderId="20" applyAlignment="1" pivotButton="0" quotePrefix="0" xfId="15">
      <alignment vertical="center"/>
    </xf>
    <xf numFmtId="0" fontId="73" fillId="0" borderId="38" pivotButton="0" quotePrefix="0" xfId="15"/>
    <xf numFmtId="0" fontId="81" fillId="0" borderId="0"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0" fontId="83"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0" fontId="85" fillId="25" borderId="43" applyAlignment="1" pivotButton="0" quotePrefix="0" xfId="0">
      <alignment horizontal="center" vertical="center"/>
    </xf>
    <xf numFmtId="176" fontId="85" fillId="25" borderId="43" applyAlignment="1" pivotButton="0" quotePrefix="0" xfId="0">
      <alignment horizontal="center" vertical="center"/>
    </xf>
    <xf numFmtId="0" fontId="81" fillId="0" borderId="43" applyAlignment="1" pivotButton="0" quotePrefix="0" xfId="0">
      <alignment horizontal="center" vertical="center"/>
    </xf>
    <xf numFmtId="175" fontId="81"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0" fontId="83" fillId="26" borderId="46" applyAlignment="1" pivotButton="0" quotePrefix="0" xfId="0">
      <alignment horizontal="center" vertical="center"/>
    </xf>
    <xf numFmtId="0" fontId="83" fillId="26" borderId="47" applyAlignment="1" pivotButton="0" quotePrefix="0" xfId="0">
      <alignment horizontal="center" vertical="center"/>
    </xf>
    <xf numFmtId="0" fontId="83" fillId="26" borderId="50" applyAlignment="1" pivotButton="0" quotePrefix="0" xfId="0">
      <alignment horizontal="center" vertical="center"/>
    </xf>
    <xf numFmtId="0" fontId="83" fillId="26" borderId="51" applyAlignment="1" pivotButton="0" quotePrefix="0" xfId="0">
      <alignment horizontal="center" vertical="center"/>
    </xf>
    <xf numFmtId="0" fontId="83" fillId="26" borderId="0" applyAlignment="1" pivotButton="0" quotePrefix="0" xfId="0">
      <alignment horizontal="center" vertical="center"/>
    </xf>
    <xf numFmtId="0" fontId="107" fillId="0" borderId="0" applyAlignment="1" pivotButton="0" quotePrefix="0" xfId="10">
      <alignment horizontal="left"/>
    </xf>
    <xf numFmtId="175" fontId="112" fillId="0" borderId="43" applyAlignment="1" pivotButton="0" quotePrefix="0" xfId="0">
      <alignment horizontal="center" vertical="center"/>
    </xf>
    <xf numFmtId="0" fontId="112" fillId="0" borderId="43" applyAlignment="1" pivotButton="0" quotePrefix="0" xfId="0">
      <alignment horizontal="center" vertical="center"/>
    </xf>
    <xf numFmtId="0" fontId="112" fillId="0" borderId="43" applyAlignment="1" pivotButton="0" quotePrefix="0" xfId="0">
      <alignment horizontal="center" vertical="center" wrapText="1"/>
    </xf>
    <xf numFmtId="0" fontId="108" fillId="0" borderId="0" applyAlignment="1" pivotButton="0" quotePrefix="0" xfId="15">
      <alignment horizontal="left" vertical="center" indent="1"/>
    </xf>
    <xf numFmtId="0" fontId="113" fillId="25" borderId="43" applyAlignment="1" pivotButton="0" quotePrefix="0" xfId="0">
      <alignment horizontal="center" vertical="center"/>
    </xf>
    <xf numFmtId="174" fontId="108" fillId="0" borderId="0" applyAlignment="1" pivotButton="0" quotePrefix="0" xfId="15">
      <alignment horizontal="left" vertical="center" indent="1"/>
    </xf>
    <xf numFmtId="179" fontId="92" fillId="26" borderId="46" applyAlignment="1" pivotButton="0" quotePrefix="0" xfId="0">
      <alignment horizontal="left" vertical="center"/>
    </xf>
    <xf numFmtId="179" fontId="92" fillId="26" borderId="47" applyAlignment="1" pivotButton="0" quotePrefix="0" xfId="0">
      <alignment horizontal="left" vertical="center"/>
    </xf>
    <xf numFmtId="0" fontId="85" fillId="25" borderId="43" applyAlignment="1" pivotButton="0" quotePrefix="0" xfId="0">
      <alignment horizontal="center" vertical="center"/>
    </xf>
    <xf numFmtId="175" fontId="85" fillId="25" borderId="43" applyAlignment="1" pivotButton="0" quotePrefix="0" xfId="0">
      <alignment horizontal="center" vertical="center"/>
    </xf>
    <xf numFmtId="180" fontId="87" fillId="26" borderId="44" applyAlignment="1" pivotButton="0" quotePrefix="0" xfId="0">
      <alignment horizontal="left" vertical="center"/>
    </xf>
    <xf numFmtId="180" fontId="87" fillId="26" borderId="45" applyAlignment="1" pivotButton="0" quotePrefix="0" xfId="0">
      <alignment horizontal="left" vertical="center"/>
    </xf>
    <xf numFmtId="180" fontId="87" fillId="26" borderId="46" applyAlignment="1" pivotButton="0" quotePrefix="0" xfId="0">
      <alignment horizontal="left" vertical="center"/>
    </xf>
    <xf numFmtId="180" fontId="87" fillId="26" borderId="47" applyAlignment="1" pivotButton="0" quotePrefix="0" xfId="0">
      <alignment horizontal="left" vertical="center"/>
    </xf>
    <xf numFmtId="0" fontId="89" fillId="26" borderId="46" applyAlignment="1" pivotButton="0" quotePrefix="0" xfId="0">
      <alignment horizontal="left" vertical="center"/>
    </xf>
    <xf numFmtId="0" fontId="89" fillId="26" borderId="47" applyAlignment="1" pivotButton="0" quotePrefix="0" xfId="0">
      <alignment horizontal="left" vertical="center"/>
    </xf>
    <xf numFmtId="178" fontId="90" fillId="26" borderId="46" applyAlignment="1" pivotButton="0" quotePrefix="0" xfId="0">
      <alignment horizontal="left" vertical="center"/>
    </xf>
    <xf numFmtId="178" fontId="90" fillId="26" borderId="47" applyAlignment="1" pivotButton="0" quotePrefix="0" xfId="0">
      <alignment horizontal="left" vertical="center"/>
    </xf>
    <xf numFmtId="177" fontId="91" fillId="26" borderId="46" applyAlignment="1" pivotButton="0" quotePrefix="0" xfId="0">
      <alignment horizontal="left" vertical="center"/>
    </xf>
    <xf numFmtId="177" fontId="91" fillId="26" borderId="47" applyAlignment="1" pivotButton="0" quotePrefix="0" xfId="0">
      <alignment horizontal="left" vertical="center"/>
    </xf>
    <xf numFmtId="0" fontId="93" fillId="26" borderId="46" applyAlignment="1" pivotButton="0" quotePrefix="0" xfId="0">
      <alignment horizontal="left" vertical="center"/>
    </xf>
    <xf numFmtId="0" fontId="93" fillId="26" borderId="47" applyAlignment="1" pivotButton="0" quotePrefix="0" xfId="0">
      <alignment horizontal="left" vertical="center"/>
    </xf>
    <xf numFmtId="0" fontId="85" fillId="26" borderId="46" applyAlignment="1" pivotButton="0" quotePrefix="0" xfId="0">
      <alignment horizontal="left" vertical="center"/>
    </xf>
    <xf numFmtId="0" fontId="85" fillId="26" borderId="47" applyAlignment="1" pivotButton="0" quotePrefix="0" xfId="0">
      <alignment horizontal="left" vertical="center"/>
    </xf>
    <xf numFmtId="175" fontId="94" fillId="26" borderId="48" applyAlignment="1" pivotButton="0" quotePrefix="0" xfId="0">
      <alignment horizontal="left" vertical="center"/>
    </xf>
    <xf numFmtId="175" fontId="94" fillId="26" borderId="49" applyAlignment="1" pivotButton="0" quotePrefix="0" xfId="0">
      <alignment horizontal="left" vertical="center"/>
    </xf>
    <xf numFmtId="0" fontId="109" fillId="0" borderId="0" applyAlignment="1" pivotButton="0" quotePrefix="0" xfId="0">
      <alignment horizontal="center" vertical="center"/>
    </xf>
    <xf numFmtId="175" fontId="84" fillId="0" borderId="0" applyAlignment="1" pivotButton="0" quotePrefix="0" xfId="0">
      <alignment horizontal="center" vertical="center"/>
    </xf>
    <xf numFmtId="0" fontId="84" fillId="0" borderId="0" applyAlignment="1" pivotButton="0" quotePrefix="0" xfId="0">
      <alignment horizontal="center" vertical="center"/>
    </xf>
    <xf numFmtId="176" fontId="84" fillId="0" borderId="0" applyAlignment="1" pivotButton="0" quotePrefix="0" xfId="0">
      <alignment horizontal="center" vertical="center"/>
    </xf>
    <xf numFmtId="176" fontId="85" fillId="25" borderId="43" applyAlignment="1" pivotButton="0" quotePrefix="0" xfId="0">
      <alignment horizontal="center" vertical="center"/>
    </xf>
    <xf numFmtId="181" fontId="88" fillId="26" borderId="46" applyAlignment="1" pivotButton="0" quotePrefix="0" xfId="0">
      <alignment horizontal="left" vertical="center"/>
    </xf>
    <xf numFmtId="181" fontId="88" fillId="26" borderId="47" applyAlignment="1" pivotButton="0" quotePrefix="0" xfId="0">
      <alignment horizontal="left" vertical="center"/>
    </xf>
    <xf numFmtId="0" fontId="71" fillId="0" borderId="0" applyAlignment="1" pivotButton="0" quotePrefix="0" xfId="15">
      <alignment horizont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0" fontId="53" fillId="17" borderId="0" applyAlignment="1" pivotButton="0" quotePrefix="0" xfId="2">
      <alignment horizontal="left" vertical="center" wrapText="1" indent="1"/>
    </xf>
    <xf numFmtId="0" fontId="55" fillId="18" borderId="0" applyAlignment="1" pivotButton="0" quotePrefix="0" xfId="2">
      <alignment horizontal="left" vertical="center" wrapText="1" indent="1"/>
    </xf>
    <xf numFmtId="0" fontId="55" fillId="20" borderId="0" applyAlignment="1" pivotButton="0" quotePrefix="0" xfId="2">
      <alignment horizontal="left" vertical="center" wrapText="1" indent="1"/>
    </xf>
    <xf numFmtId="0" fontId="55" fillId="23" borderId="0" applyAlignment="1" pivotButton="0" quotePrefix="0" xfId="2">
      <alignment horizontal="left" vertical="center" wrapText="1" indent="1"/>
    </xf>
    <xf numFmtId="0" fontId="55" fillId="22" borderId="0" applyAlignment="1" pivotButton="0" quotePrefix="0" xfId="2">
      <alignment horizontal="left" vertical="center" wrapText="1" indent="1"/>
    </xf>
    <xf numFmtId="0" fontId="55" fillId="21" borderId="0" applyAlignment="1" pivotButton="0" quotePrefix="0" xfId="2">
      <alignment horizontal="left" vertical="center" wrapText="1" indent="1"/>
    </xf>
    <xf numFmtId="0" fontId="51" fillId="16" borderId="0" applyAlignment="1" pivotButton="0" quotePrefix="0" xfId="0">
      <alignment horizontal="left" vertical="center" indent="1"/>
    </xf>
    <xf numFmtId="0" fontId="59" fillId="16" borderId="0" applyAlignment="1" pivotButton="0" quotePrefix="0" xfId="0">
      <alignment horizontal="left" vertical="center" indent="1"/>
    </xf>
    <xf numFmtId="0" fontId="51" fillId="0" borderId="0" applyAlignment="1" pivotButton="0" quotePrefix="0" xfId="0">
      <alignment horizontal="left" vertical="center" indent="1"/>
    </xf>
    <xf numFmtId="0" fontId="59" fillId="0" borderId="0" applyAlignment="1" pivotButton="0" quotePrefix="0" xfId="0">
      <alignment horizontal="left" vertical="center" indent="1"/>
    </xf>
    <xf numFmtId="0" fontId="51" fillId="16" borderId="0" applyAlignment="1" pivotButton="0" quotePrefix="0" xfId="0">
      <alignment vertical="center"/>
    </xf>
    <xf numFmtId="0" fontId="59" fillId="16" borderId="0" applyAlignment="1" pivotButton="0" quotePrefix="0" xfId="0">
      <alignment vertical="center"/>
    </xf>
    <xf numFmtId="171" fontId="39" fillId="17" borderId="0" applyAlignment="1" pivotButton="0" quotePrefix="0" xfId="0">
      <alignment horizontal="center" vertical="center"/>
    </xf>
    <xf numFmtId="171" fontId="56" fillId="18" borderId="0" applyAlignment="1" pivotButton="0" quotePrefix="0" xfId="0">
      <alignment horizontal="center" vertical="center"/>
    </xf>
    <xf numFmtId="171" fontId="57" fillId="20" borderId="0" applyAlignment="1" pivotButton="0" quotePrefix="0" xfId="0">
      <alignment horizontal="center" vertical="center"/>
    </xf>
    <xf numFmtId="0" fontId="65" fillId="0" borderId="0" applyAlignment="1" pivotButton="0" quotePrefix="0" xfId="0">
      <alignment horizontal="center"/>
    </xf>
    <xf numFmtId="0" fontId="114" fillId="0" borderId="0" applyAlignment="1" pivotButton="0" quotePrefix="0" xfId="0">
      <alignment horizontal="left" vertical="center" indent="7"/>
    </xf>
    <xf numFmtId="0" fontId="50" fillId="0" borderId="0" applyAlignment="1" pivotButton="0" quotePrefix="0" xfId="0">
      <alignment horizontal="left" vertical="center" indent="7"/>
    </xf>
    <xf numFmtId="0" fontId="51" fillId="16" borderId="25" applyAlignment="1" pivotButton="0" quotePrefix="0" xfId="3">
      <alignment horizontal="left" vertical="center" indent="1"/>
    </xf>
    <xf numFmtId="0" fontId="52" fillId="16" borderId="26" applyAlignment="1" pivotButton="0" quotePrefix="0" xfId="3">
      <alignment horizontal="left" vertical="center" indent="1"/>
    </xf>
    <xf numFmtId="0" fontId="59" fillId="16" borderId="26" applyAlignment="1" pivotButton="0" quotePrefix="0" xfId="3">
      <alignment horizontal="left" vertical="center" indent="1"/>
    </xf>
    <xf numFmtId="0" fontId="106" fillId="14" borderId="0" applyAlignment="1" pivotButton="0" quotePrefix="0" xfId="17">
      <alignment horizontal="left"/>
    </xf>
    <xf numFmtId="0" fontId="41" fillId="14" borderId="0" applyAlignment="1" pivotButton="0" quotePrefix="0" xfId="17">
      <alignment horizontal="left"/>
    </xf>
    <xf numFmtId="0" fontId="42" fillId="14" borderId="0" pivotButton="0" quotePrefix="0" xfId="17"/>
    <xf numFmtId="0" fontId="2" fillId="2" borderId="1" applyProtection="1" pivotButton="0" quotePrefix="0" xfId="18">
      <protection locked="0" hidden="0"/>
    </xf>
    <xf numFmtId="0" fontId="3" fillId="2" borderId="1" applyProtection="1" pivotButton="0" quotePrefix="0" xfId="18">
      <protection locked="0" hidden="0"/>
    </xf>
    <xf numFmtId="0" fontId="6" fillId="3" borderId="0" applyAlignment="1" applyProtection="1" pivotButton="0" quotePrefix="0" xfId="18">
      <alignment vertical="center"/>
      <protection locked="0" hidden="0"/>
    </xf>
    <xf numFmtId="0" fontId="7" fillId="3" borderId="0" applyAlignment="1" applyProtection="1" pivotButton="0" quotePrefix="0" xfId="18">
      <alignment vertical="center"/>
      <protection locked="0" hidden="0"/>
    </xf>
    <xf numFmtId="0" fontId="14" fillId="0" borderId="0" applyAlignment="1" pivotButton="0" quotePrefix="0" xfId="9">
      <alignment horizontal="right"/>
    </xf>
    <xf numFmtId="0" fontId="14" fillId="0" borderId="13" applyAlignment="1" pivotButton="0" quotePrefix="0" xfId="9">
      <alignment horizontal="right"/>
    </xf>
    <xf numFmtId="0" fontId="13" fillId="0" borderId="0" applyAlignment="1" pivotButton="0" quotePrefix="0" xfId="9">
      <alignment horizontal="left" wrapText="1"/>
    </xf>
    <xf numFmtId="0" fontId="13" fillId="0" borderId="13" applyAlignment="1" pivotButton="0" quotePrefix="0" xfId="9">
      <alignment horizontal="left" wrapText="1"/>
    </xf>
    <xf numFmtId="175" fontId="115" fillId="0" borderId="43"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175" fontId="85" fillId="25" borderId="43" applyAlignment="1" pivotButton="0" quotePrefix="0" xfId="0">
      <alignment horizontal="center" vertical="center"/>
    </xf>
    <xf numFmtId="0" fontId="0" fillId="0" borderId="59" pivotButton="0" quotePrefix="0" xfId="0"/>
    <xf numFmtId="0" fontId="0" fillId="0" borderId="60" pivotButton="0" quotePrefix="0" xfId="0"/>
    <xf numFmtId="180" fontId="87" fillId="26" borderId="64" applyAlignment="1" pivotButton="0" quotePrefix="0" xfId="0">
      <alignment horizontal="left" vertical="center"/>
    </xf>
    <xf numFmtId="0" fontId="0" fillId="0" borderId="45" pivotButton="0" quotePrefix="0" xfId="0"/>
    <xf numFmtId="0" fontId="0" fillId="0" borderId="63" pivotButton="0" quotePrefix="0" xfId="0"/>
    <xf numFmtId="176" fontId="85" fillId="25" borderId="43" applyAlignment="1" pivotButton="0" quotePrefix="0" xfId="0">
      <alignment horizontal="center" vertical="center"/>
    </xf>
    <xf numFmtId="0" fontId="0" fillId="0" borderId="46" pivotButton="0" quotePrefix="0" xfId="0"/>
    <xf numFmtId="0" fontId="0" fillId="0" borderId="47" pivotButton="0" quotePrefix="0" xfId="0"/>
    <xf numFmtId="175" fontId="112"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181" fontId="88" fillId="26" borderId="56" applyAlignment="1" pivotButton="0" quotePrefix="0" xfId="0">
      <alignment horizontal="left" vertical="center"/>
    </xf>
    <xf numFmtId="175" fontId="115" fillId="0" borderId="43" applyAlignment="1" pivotButton="0" quotePrefix="0" xfId="0">
      <alignment horizontal="center" vertical="center"/>
    </xf>
    <xf numFmtId="0" fontId="89" fillId="26" borderId="56" applyAlignment="1" pivotButton="0" quotePrefix="0" xfId="0">
      <alignment horizontal="left" vertical="center"/>
    </xf>
    <xf numFmtId="178" fontId="90" fillId="26" borderId="56" applyAlignment="1" pivotButton="0" quotePrefix="0" xfId="0">
      <alignment horizontal="left" vertical="center"/>
    </xf>
    <xf numFmtId="177" fontId="91" fillId="26" borderId="56" applyAlignment="1" pivotButton="0" quotePrefix="0" xfId="0">
      <alignment horizontal="left" vertical="center"/>
    </xf>
    <xf numFmtId="175" fontId="81" fillId="0" borderId="43" applyAlignment="1" pivotButton="0" quotePrefix="0" xfId="0">
      <alignment horizontal="center" vertical="center"/>
    </xf>
    <xf numFmtId="179" fontId="92" fillId="26" borderId="56" applyAlignment="1" pivotButton="0" quotePrefix="0" xfId="0">
      <alignment horizontal="left" vertical="center"/>
    </xf>
    <xf numFmtId="0" fontId="93" fillId="26" borderId="56" applyAlignment="1" pivotButton="0" quotePrefix="0" xfId="0">
      <alignment horizontal="left" vertical="center"/>
    </xf>
    <xf numFmtId="0" fontId="85" fillId="26" borderId="56" applyAlignment="1" pivotButton="0" quotePrefix="0" xfId="0">
      <alignment horizontal="left" vertical="center"/>
    </xf>
    <xf numFmtId="175" fontId="94" fillId="26" borderId="66" applyAlignment="1" pivotButton="0" quotePrefix="0" xfId="0">
      <alignment horizontal="left" vertical="center"/>
    </xf>
    <xf numFmtId="0" fontId="0" fillId="0" borderId="49" pivotButton="0" quotePrefix="0" xfId="0"/>
    <xf numFmtId="172" fontId="76" fillId="0" borderId="36" applyAlignment="1" pivotButton="0" quotePrefix="0" xfId="4">
      <alignment horizontal="right" vertical="center" wrapText="1" indent="1"/>
    </xf>
    <xf numFmtId="172" fontId="80" fillId="16" borderId="41" applyAlignment="1" pivotButton="0" quotePrefix="0" xfId="15">
      <alignment horizontal="right" vertical="center" wrapText="1" indent="1"/>
    </xf>
    <xf numFmtId="173" fontId="40" fillId="0" borderId="37" applyAlignment="1" pivotButton="0" quotePrefix="0" xfId="15">
      <alignment horizontal="right" wrapText="1" indent="1"/>
    </xf>
    <xf numFmtId="173" fontId="75" fillId="16" borderId="41" applyAlignment="1" pivotButton="0" quotePrefix="0" xfId="15">
      <alignment horizontal="right" wrapText="1" indent="1"/>
    </xf>
    <xf numFmtId="173" fontId="75" fillId="0" borderId="0" applyAlignment="1" pivotButton="0" quotePrefix="0" xfId="15">
      <alignment horizontal="right" wrapText="1" indent="1"/>
    </xf>
    <xf numFmtId="173" fontId="75" fillId="16" borderId="2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174" fontId="40" fillId="16" borderId="41" applyAlignment="1" pivotButton="0" quotePrefix="0" xfId="15">
      <alignment horizontal="right"/>
    </xf>
    <xf numFmtId="174" fontId="79" fillId="0" borderId="0" applyAlignment="1" pivotButton="0" quotePrefix="0" xfId="15">
      <alignment horizontal="left" vertical="center" indent="1"/>
    </xf>
    <xf numFmtId="174" fontId="71" fillId="0" borderId="0" applyAlignment="1" pivotButton="0" quotePrefix="0" xfId="15">
      <alignment horizontal="right" vertical="center"/>
    </xf>
    <xf numFmtId="174" fontId="71" fillId="16" borderId="20" applyAlignment="1" pivotButton="0" quotePrefix="0" xfId="15">
      <alignment vertical="center"/>
    </xf>
    <xf numFmtId="174" fontId="71" fillId="0" borderId="0" applyAlignment="1" pivotButton="0" quotePrefix="0" xfId="15">
      <alignment vertical="center"/>
    </xf>
    <xf numFmtId="174" fontId="108" fillId="0" borderId="0" applyAlignment="1" pivotButton="0" quotePrefix="0" xfId="15">
      <alignment horizontal="left" vertical="center" indent="1"/>
    </xf>
    <xf numFmtId="174" fontId="12" fillId="0" borderId="0" applyAlignment="1" pivotButton="0" quotePrefix="0" xfId="0">
      <alignment horizontal="left" vertical="center" indent="1"/>
    </xf>
    <xf numFmtId="174" fontId="71" fillId="0" borderId="0" applyAlignment="1" pivotButton="0" quotePrefix="0" xfId="0">
      <alignment vertical="center"/>
    </xf>
    <xf numFmtId="174" fontId="71" fillId="16" borderId="20" applyAlignment="1" pivotButton="0" quotePrefix="0" xfId="0">
      <alignment vertical="center"/>
    </xf>
    <xf numFmtId="174" fontId="78" fillId="24" borderId="38" applyAlignment="1" pivotButton="0" quotePrefix="0" xfId="7">
      <alignment horizontal="left" vertical="center"/>
    </xf>
    <xf numFmtId="174" fontId="40" fillId="24" borderId="39" applyAlignment="1" pivotButton="0" quotePrefix="0" xfId="5">
      <alignment vertical="center"/>
    </xf>
    <xf numFmtId="174" fontId="40" fillId="16" borderId="42" applyAlignment="1" pivotButton="0" quotePrefix="0" xfId="15">
      <alignment vertical="center"/>
    </xf>
    <xf numFmtId="0" fontId="0" fillId="0" borderId="25" pivotButton="0" quotePrefix="0" xfId="0"/>
    <xf numFmtId="171" fontId="39" fillId="17" borderId="0" applyAlignment="1" pivotButton="0" quotePrefix="0" xfId="0">
      <alignment horizontal="center" vertical="center"/>
    </xf>
    <xf numFmtId="171" fontId="54" fillId="16" borderId="28" applyAlignment="1" pivotButton="0" quotePrefix="0" xfId="0">
      <alignment horizontal="center" vertical="center"/>
    </xf>
    <xf numFmtId="171" fontId="54" fillId="16" borderId="30" applyAlignment="1" pivotButton="0" quotePrefix="0" xfId="0">
      <alignment horizontal="center" vertical="center"/>
    </xf>
    <xf numFmtId="171" fontId="56" fillId="18" borderId="0" applyAlignment="1" pivotButton="0" quotePrefix="0" xfId="0">
      <alignment horizontal="center" vertical="center"/>
    </xf>
    <xf numFmtId="171" fontId="58" fillId="19" borderId="32" applyAlignment="1" pivotButton="0" quotePrefix="0" xfId="0">
      <alignment horizontal="center" vertical="center"/>
    </xf>
    <xf numFmtId="171" fontId="57" fillId="20" borderId="0" applyAlignment="1" pivotButton="0" quotePrefix="0" xfId="0">
      <alignment horizontal="center" vertical="center"/>
    </xf>
    <xf numFmtId="171" fontId="54" fillId="16" borderId="34" applyAlignment="1" pivotButton="0" quotePrefix="0" xfId="0">
      <alignment horizontal="center" vertical="center"/>
    </xf>
    <xf numFmtId="171" fontId="60" fillId="0" borderId="0" applyAlignment="1" pivotButton="0" quotePrefix="0" xfId="0">
      <alignment vertical="center"/>
    </xf>
    <xf numFmtId="171" fontId="62" fillId="16" borderId="0" applyAlignment="1" pivotButton="0" quotePrefix="0" xfId="0">
      <alignment vertical="center"/>
    </xf>
    <xf numFmtId="168" fontId="54" fillId="0" borderId="0" applyAlignment="1" pivotButton="0" quotePrefix="0" xfId="0">
      <alignment horizontal="center" vertical="center"/>
    </xf>
    <xf numFmtId="168" fontId="54" fillId="16" borderId="0" applyAlignment="1" pivotButton="0" quotePrefix="0" xfId="0">
      <alignment horizontal="center" vertical="center"/>
    </xf>
    <xf numFmtId="168" fontId="37" fillId="19" borderId="0" applyAlignment="1" pivotButton="0" quotePrefix="0" xfId="0">
      <alignment horizontal="center" vertical="center"/>
    </xf>
    <xf numFmtId="168" fontId="58" fillId="19" borderId="0" applyAlignment="1" pivotButton="0" quotePrefix="0" xfId="0">
      <alignment horizontal="center" vertical="center"/>
    </xf>
    <xf numFmtId="168" fontId="61" fillId="0" borderId="0" applyAlignment="1" pivotButton="0" quotePrefix="0" xfId="0">
      <alignment horizontal="center" vertical="center"/>
    </xf>
    <xf numFmtId="168" fontId="65" fillId="16" borderId="0" applyAlignment="1" pivotButton="0" quotePrefix="0" xfId="0">
      <alignment horizontal="center" vertical="center"/>
    </xf>
    <xf numFmtId="168" fontId="65" fillId="19" borderId="0" applyAlignment="1" pivotButton="0" quotePrefix="0" xfId="0">
      <alignment horizontal="center" vertical="center"/>
    </xf>
    <xf numFmtId="168" fontId="65" fillId="16" borderId="0" applyAlignment="1" pivotButton="0" quotePrefix="0" xfId="0">
      <alignment horizontal="left" vertical="center" indent="1"/>
    </xf>
    <xf numFmtId="168" fontId="65" fillId="16" borderId="0" applyAlignment="1" pivotButton="0" quotePrefix="0" xfId="0">
      <alignment vertical="center"/>
    </xf>
    <xf numFmtId="168" fontId="54" fillId="19" borderId="0" applyAlignment="1" pivotButton="0" quotePrefix="0" xfId="0">
      <alignment horizontal="center" vertical="center"/>
    </xf>
    <xf numFmtId="168" fontId="54" fillId="16" borderId="0" applyAlignment="1" pivotButton="0" quotePrefix="0" xfId="0">
      <alignment horizontal="left" vertical="center"/>
    </xf>
    <xf numFmtId="168" fontId="65" fillId="0"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169" fontId="12" fillId="0" borderId="0" pivotButton="0" quotePrefix="0" xfId="17"/>
    <xf numFmtId="169" fontId="12" fillId="0" borderId="0" applyAlignment="1" pivotButton="0" quotePrefix="0" xfId="17">
      <alignment horizontal="left" indent="1"/>
    </xf>
    <xf numFmtId="170" fontId="12" fillId="14" borderId="0" pivotButton="0" quotePrefix="0" xfId="17"/>
    <xf numFmtId="170" fontId="12" fillId="14" borderId="0" applyAlignment="1" pivotButton="0" quotePrefix="0" xfId="17">
      <alignment horizontal="left" indent="1"/>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170" fontId="12" fillId="14" borderId="24" pivotButton="0" quotePrefix="0" xfId="17"/>
    <xf numFmtId="170" fontId="27" fillId="14" borderId="23" applyAlignment="1" pivotButton="0" quotePrefix="0" xfId="17">
      <alignment horizontal="left" vertical="center" indent="1"/>
    </xf>
    <xf numFmtId="167" fontId="27" fillId="0" borderId="0" applyAlignment="1" pivotButton="0" quotePrefix="0" xfId="20">
      <alignment horizontal="center"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167" fontId="11" fillId="0" borderId="0" applyAlignment="1" pivotButton="0" quotePrefix="0" xfId="17">
      <alignment horizontal="center" vertical="center"/>
    </xf>
    <xf numFmtId="167" fontId="12" fillId="0" borderId="0" applyAlignment="1" pivotButton="0" quotePrefix="0" xfId="20">
      <alignment horizontal="center" vertical="center"/>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0" borderId="0" applyAlignment="1" pivotButton="0" quotePrefix="0" xfId="17">
      <alignment horizontal="center" vertical="center"/>
    </xf>
    <xf numFmtId="167" fontId="12" fillId="13" borderId="0" applyAlignment="1" pivotButton="0" quotePrefix="0" xfId="17">
      <alignment horizontal="center" vertical="center"/>
    </xf>
    <xf numFmtId="168" fontId="19" fillId="0" borderId="0" pivotButton="0" quotePrefix="0" xfId="17"/>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0" fontId="0" fillId="0" borderId="1" applyProtection="1" pivotButton="0" quotePrefix="0" xfId="0">
      <protection locked="0" hidden="0"/>
    </xf>
    <xf numFmtId="164" fontId="1" fillId="0" borderId="4" applyAlignment="1" applyProtection="1" pivotButton="0" quotePrefix="0" xfId="18">
      <alignment horizontal="right"/>
      <protection locked="0" hidden="0"/>
    </xf>
    <xf numFmtId="165" fontId="1" fillId="0" borderId="4" applyAlignment="1" applyProtection="1" pivotButton="0" quotePrefix="0" xfId="18">
      <alignment horizontal="right"/>
      <protection locked="0" hidden="0"/>
    </xf>
    <xf numFmtId="165" fontId="1" fillId="6" borderId="4" applyAlignment="1" pivotButton="0" quotePrefix="0" xfId="18">
      <alignment horizontal="right"/>
    </xf>
    <xf numFmtId="164" fontId="1" fillId="0" borderId="5"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0" fillId="0" borderId="0" applyProtection="1" pivotButton="0" quotePrefix="0" xfId="0">
      <protection locked="0" hidden="0"/>
    </xf>
    <xf numFmtId="164" fontId="9" fillId="5" borderId="8" applyAlignment="1" applyProtection="1" pivotButton="0" quotePrefix="0" xfId="18">
      <alignment horizontal="right" vertical="center"/>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4" fontId="9" fillId="0" borderId="9" applyAlignment="1" applyProtection="1" pivotButton="0" quotePrefix="0" xfId="18">
      <alignment horizontal="right" vertical="center"/>
      <protection locked="0" hidden="0"/>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4" fontId="9" fillId="5" borderId="9" applyAlignment="1" applyProtection="1" pivotButton="0" quotePrefix="0" xfId="18">
      <alignment horizontal="right" vertical="center"/>
      <protection locked="0" hidden="0"/>
    </xf>
    <xf numFmtId="165" fontId="9" fillId="5" borderId="9" applyAlignment="1" applyProtection="1" pivotButton="0" quotePrefix="0" xfId="18">
      <alignment horizontal="right" vertical="center"/>
      <protection locked="0" hidden="0"/>
    </xf>
    <xf numFmtId="0" fontId="0" fillId="0" borderId="13" pivotButton="0" quotePrefix="0" xfId="0"/>
    <xf numFmtId="166" fontId="0" fillId="9" borderId="15" pivotButton="0" quotePrefix="0" xfId="21"/>
    <xf numFmtId="166" fontId="18" fillId="9" borderId="15" pivotButton="0" quotePrefix="0" xfId="21"/>
    <xf numFmtId="166" fontId="0" fillId="9" borderId="16" pivotButton="0" quotePrefix="0" xfId="21"/>
    <xf numFmtId="166" fontId="18" fillId="9" borderId="16" pivotButton="0" quotePrefix="0" xfId="21"/>
    <xf numFmtId="166" fontId="17" fillId="8" borderId="12" pivotButton="0" quotePrefix="0" xfId="0"/>
    <xf numFmtId="166" fontId="14" fillId="0" borderId="13" pivotButton="0" quotePrefix="0" xfId="9"/>
    <xf numFmtId="166" fontId="0" fillId="11" borderId="15" pivotButton="0" quotePrefix="0" xfId="22"/>
    <xf numFmtId="166" fontId="18" fillId="11" borderId="15" pivotButton="0" quotePrefix="0" xfId="22"/>
    <xf numFmtId="166" fontId="0" fillId="11" borderId="16" pivotButton="0" quotePrefix="0" xfId="22"/>
    <xf numFmtId="166" fontId="18" fillId="11" borderId="16" pivotButton="0" quotePrefix="0" xfId="22"/>
    <xf numFmtId="166" fontId="17" fillId="10" borderId="12" pivotButton="0" quotePrefix="0" xfId="0"/>
    <xf numFmtId="166" fontId="14" fillId="0" borderId="17" pivotButton="0" quotePrefix="0" xfId="9"/>
    <xf numFmtId="166" fontId="14" fillId="0" borderId="0" pivotButton="0" quotePrefix="0" xfId="16"/>
  </cellXfs>
  <cellStyles count="27">
    <cellStyle name="常规" xfId="0" builtinId="0"/>
    <cellStyle name="标题 1" xfId="1" builtinId="16"/>
    <cellStyle name="标题 2" xfId="2" builtinId="17"/>
    <cellStyle name="标题 3" xfId="3" builtinId="18"/>
    <cellStyle name="Month" xfId="4"/>
    <cellStyle name="Totals" xfId="5"/>
    <cellStyle name="百分比 2" xfId="6"/>
    <cellStyle name="标题 1 2" xfId="7"/>
    <cellStyle name="标题 1 3" xfId="8"/>
    <cellStyle name="标题 2 2" xfId="9"/>
    <cellStyle name="标题 2 3" xfId="10"/>
    <cellStyle name="标题 3 2" xfId="11"/>
    <cellStyle name="标题 5" xfId="12"/>
    <cellStyle name="标题 6" xfId="13"/>
    <cellStyle name="表格详细信息" xfId="14"/>
    <cellStyle name="常规 2" xfId="15"/>
    <cellStyle name="常规 3" xfId="16"/>
    <cellStyle name="常规 4" xfId="17"/>
    <cellStyle name="常规 5" xfId="18"/>
    <cellStyle name="电话" xfId="19"/>
    <cellStyle name="货币[0] 2" xfId="20"/>
    <cellStyle name="强调 1" xfId="21"/>
    <cellStyle name="强调 2" xfId="22"/>
    <cellStyle name="日期" xfId="23"/>
    <cellStyle name="填写收入" xfId="24"/>
    <cellStyle name="填写销售成本" xfId="25"/>
    <cellStyle name="填写支出" xfId="26"/>
  </cellStyles>
  <dxfs count="388">
    <dxf>
      <font>
        <color indexed="10"/>
      </font>
    </dxf>
    <dxf>
      <font>
        <color rgb="FFFF0000"/>
      </font>
    </dxf>
    <dxf>
      <font>
        <color rgb="FFFF0000"/>
      </font>
    </dxf>
    <dxf>
      <font>
        <color rgb="FFFF0000"/>
      </font>
    </dxf>
    <dxf>
      <font>
        <color rgb="FFFF0000"/>
      </font>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alignment horizontal="center" vertical="center"/>
    </dxf>
    <dxf>
      <font>
        <name val="Microsoft YaHei UI"/>
        <charset val="134"/>
        <family val="2"/>
        <strike val="0"/>
        <color theme="1"/>
        <sz val="11"/>
      </font>
      <alignment horizontal="left" vertical="center"/>
    </dxf>
    <dxf>
      <font>
        <name val="Microsoft YaHei UI"/>
        <charset val="134"/>
        <family val="2"/>
        <strike val="0"/>
        <color theme="1"/>
        <sz val="10"/>
      </font>
      <alignment horizontal="left" vertical="center" indent="1"/>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alignment horizontal="center" vertical="center"/>
    </dxf>
    <dxf>
      <font>
        <name val="Microsoft YaHei UI"/>
        <charset val="134"/>
        <family val="2"/>
        <strike val="0"/>
        <color auto="1"/>
        <sz val="10"/>
      </font>
      <numFmt numFmtId="183" formatCode="\¥#,##0.00_);\(\¥#,##0.00\)"/>
      <fill>
        <patternFill patternType="solid">
          <bgColor theme="5" tint="0.5999938962981048"/>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alignment horizontal="center" vertical="center"/>
    </dxf>
    <dxf>
      <font>
        <name val="Microsoft YaHei UI"/>
        <charset val="134"/>
        <family val="2"/>
        <strike val="0"/>
        <color theme="1"/>
      </font>
      <fill>
        <patternFill patternType="solid">
          <bgColor theme="5" tint="0.5999938962981048"/>
        </patternFill>
      </fill>
    </dxf>
    <dxf>
      <font>
        <name val="Microsoft YaHei UI"/>
        <charset val="134"/>
        <family val="2"/>
        <strike val="0"/>
        <color theme="1"/>
        <sz val="10"/>
      </font>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fill>
        <patternFill patternType="solid">
          <bgColor theme="0"/>
        </patternFill>
      </fill>
      <alignment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Microsoft YaHei UI"/>
        <charset val="134"/>
        <strike val="0"/>
        <outline val="0"/>
        <shadow val="0"/>
        <condense val="0"/>
        <color theme="1" tint="0.1499374370555742"/>
        <extend val="0"/>
        <sz val="10"/>
        <vertAlign val="baseline"/>
      </font>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strike val="0"/>
      </font>
    </dxf>
    <dxf>
      <font>
        <name val="Microsoft YaHei UI"/>
        <strike val="0"/>
      </font>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fill>
        <patternFill patternType="solid">
          <bgColor theme="0"/>
        </patternFill>
      </fill>
      <border>
        <left/>
        <right/>
        <top style="thin">
          <color theme="0"/>
        </top>
        <bottom style="thin">
          <color theme="0"/>
        </bottom>
      </border>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bottom"/>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charset val="134"/>
        <family val="2"/>
        <strike val="0"/>
        <color theme="1" tint="0.1499374370555742"/>
      </font>
      <numFmt numFmtId="0" formatCode="General"/>
      <fill>
        <patternFill/>
      </fill>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3" formatCode="#,##0"/>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numFmt numFmtId="178" formatCode="0_);\!\-0_)"/>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bottom style="thick">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extend val="0"/>
        <sz val="10"/>
        <vertAlign val="baseline"/>
      </font>
      <numFmt numFmtId="178" formatCode="0_);\!\-0_)"/>
      <alignment horizontal="left" vertical="center" indent="1"/>
    </dxf>
    <dxf>
      <font>
        <name val="Microsoft YaHei UI"/>
        <strike val="0"/>
        <color theme="1" tint="0.499984740745262"/>
        <sz val="10"/>
      </font>
      <numFmt numFmtId="178" formatCode="0_);\!\-0_)"/>
      <alignment horizontal="left" vertical="center" indent="1"/>
    </dxf>
    <dxf>
      <font>
        <b val="1"/>
        <color theme="0"/>
      </font>
      <fill>
        <patternFill patternType="solid">
          <bgColor theme="1"/>
        </patternFill>
      </fill>
      <border>
        <left/>
        <right/>
        <top style="thick">
          <color theme="6" tint="0.7999511703848384"/>
        </top>
        <bottom/>
        <vertical/>
        <horizontal/>
      </border>
    </dxf>
    <dxf>
      <font>
        <b val="1"/>
        <color theme="0"/>
      </font>
      <fill>
        <patternFill patternType="solid">
          <bgColor theme="1"/>
        </patternFill>
      </fill>
      <border>
        <left/>
        <right/>
        <top/>
        <bottom style="thick">
          <color theme="0"/>
        </bottom>
        <vertical/>
        <horizontal/>
      </border>
    </dxf>
    <dxf>
      <border>
        <top style="thin">
          <color theme="6" tint="0.7999511703848384"/>
        </top>
        <bottom style="thin">
          <color theme="6" tint="0.7999511703848384"/>
        </bottom>
        <vertical style="dotted">
          <color theme="6" tint="0.7999511703848384"/>
        </vertical>
        <horizontal style="thin">
          <color theme="6" tint="0.7999511703848384"/>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style="thin">
          <color theme="4" tint="0.3999145481734672"/>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511703848384"/>
        </bottom>
        <vertical/>
        <horizontal/>
      </border>
    </dxf>
    <dxf>
      <border>
        <left/>
        <right style="dotted">
          <color theme="5" tint="0.3998840296639912"/>
        </right>
        <top style="thin">
          <color theme="5" tint="0.3999145481734672"/>
        </top>
        <bottom style="thin">
          <color theme="5" tint="0.3999145481734672"/>
        </bottom>
        <vertical style="dotted">
          <color theme="5" tint="0.3999145481734672"/>
        </vertical>
        <horizontal style="thin">
          <color theme="5" tint="0.3999145481734672"/>
        </horizontal>
      </border>
    </dxf>
    <dxf>
      <border>
        <left/>
        <right style="dotted">
          <color theme="5" tint="0.3998840296639912"/>
        </right>
        <top style="thin">
          <color theme="5" tint="0.3999145481734672"/>
        </top>
        <bottom style="thin">
          <color theme="5" tint="0.3999145481734672"/>
        </bottom>
        <vertical style="dotted">
          <color theme="5" tint="0.399884029663991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206518753624"/>
        </bottom>
        <vertical/>
        <horizontal/>
      </border>
    </dxf>
    <dxf>
      <fill>
        <patternFill patternType="solid">
          <fgColor theme="4" tint="0.7999206518753624"/>
          <bgColor theme="4" tint="0.7999206518753624"/>
        </patternFill>
      </fill>
    </dxf>
    <dxf>
      <fill>
        <patternFill patternType="solid">
          <fgColor theme="4" tint="0.7999206518753624"/>
          <bgColor theme="4" tint="0.7999206518753624"/>
        </patternFill>
      </fill>
    </dxf>
    <dxf>
      <font>
        <b val="1"/>
        <color theme="1"/>
      </font>
    </dxf>
    <dxf>
      <font>
        <color theme="1"/>
      </font>
    </dxf>
    <dxf>
      <font>
        <b val="1"/>
        <color theme="1"/>
      </font>
      <border>
        <top style="double">
          <color theme="4"/>
        </top>
      </border>
    </dxf>
    <dxf>
      <font>
        <b val="1"/>
        <color theme="0"/>
      </font>
      <fill>
        <patternFill patternType="solid">
          <fgColor theme="4"/>
          <bgColor theme="4" tint="-0.499984740745262"/>
        </patternFill>
      </fill>
    </dxf>
    <dxf>
      <font>
        <color theme="1"/>
      </font>
      <border>
        <left style="thin">
          <color theme="4" tint="0.3999145481734672"/>
        </left>
        <right style="thin">
          <color theme="4" tint="0.3999145481734672"/>
        </right>
        <top style="thin">
          <color theme="4" tint="0.3999145481734672"/>
        </top>
        <bottom style="thin">
          <color theme="4" tint="0.3999145481734672"/>
        </bottom>
        <horizontal style="thin">
          <color theme="4" tint="0.3999145481734672"/>
        </horizontal>
      </border>
    </dxf>
    <dxf>
      <font>
        <b val="1"/>
      </font>
      <fill>
        <patternFill patternType="solid">
          <bgColor theme="0" tint="-0.0499893185216834"/>
        </patternFill>
      </fill>
      <border>
        <left/>
        <right/>
        <top style="thin">
          <color theme="0" tint="-0.1499069185460982"/>
        </top>
        <bottom style="thin">
          <color theme="0" tint="-0.1499069185460982"/>
        </bottom>
        <vertical style="thin">
          <color theme="0" tint="-0.1499069185460982"/>
        </vertical>
        <horizontal style="thin">
          <color theme="0" tint="-0.1499069185460982"/>
        </horizontal>
      </border>
    </dxf>
    <dxf>
      <font>
        <color auto="1"/>
      </font>
      <fill>
        <patternFill/>
      </fill>
      <border>
        <left/>
        <right/>
        <top style="thin">
          <color theme="8"/>
        </top>
        <bottom style="thin">
          <color theme="0" tint="-0.1499069185460982"/>
        </bottom>
        <vertical/>
        <horizontal/>
      </border>
    </dxf>
    <dxf>
      <font>
        <color auto="1"/>
      </font>
      <fill>
        <patternFill/>
      </fill>
      <border>
        <left/>
        <right/>
        <top style="thin">
          <color theme="8"/>
        </top>
        <bottom style="thin">
          <color theme="0" tint="-0.1499069185460982"/>
        </bottom>
        <vertical style="thin">
          <color theme="0" tint="-0.1499069185460982"/>
        </vertical>
        <horizontal style="thin">
          <color theme="0" tint="-0.1499069185460982"/>
        </horizontal>
      </border>
    </dxf>
    <dxf>
      <fill>
        <patternFill/>
      </fill>
    </dxf>
    <dxf>
      <font>
        <color theme="1" tint="0.1499374370555742"/>
      </font>
    </dxf>
    <dxf>
      <border>
        <left style="dotted">
          <color theme="0" tint="-0.3499862666707358"/>
        </left>
        <right style="dotted">
          <color theme="0" tint="-0.3499862666707358"/>
        </right>
        <top style="thin">
          <color theme="0" tint="-0.3499862666707358"/>
        </top>
        <bottom style="dotted">
          <color theme="0" tint="-0.3499862666707358"/>
        </bottom>
        <vertical/>
        <horizontal/>
      </border>
    </dxf>
    <dxf>
      <font>
        <color theme="1" tint="0.3499862666707358"/>
      </font>
    </dxf>
    <dxf>
      <font>
        <color theme="1" tint="0.1499374370555742"/>
      </font>
      <fill>
        <patternFill patternType="solid">
          <bgColor theme="4" tint="0.7999511703848384"/>
        </patternFill>
      </fill>
      <border>
        <top/>
        <bottom style="medium">
          <color theme="4" tint="0.3999145481734672"/>
        </bottom>
      </border>
    </dxf>
    <dxf>
      <font>
        <color theme="1" tint="0.1499374370555742"/>
      </font>
    </dxf>
    <dxf>
      <font>
        <color theme="1" tint="0.499984740745262"/>
      </font>
      <border>
        <left/>
        <right style="thin">
          <color theme="0" tint="-0.3499862666707358"/>
        </right>
        <top style="thin">
          <color theme="0" tint="-0.3499862666707358"/>
        </top>
        <bottom style="thin">
          <color theme="0" tint="-0.3499862666707358"/>
        </bottom>
        <vertical style="dotted">
          <color theme="0" tint="-0.3499862666707358"/>
        </vertical>
        <horizontal style="thin">
          <color theme="0" tint="-0.3499862666707358"/>
        </horizontal>
      </border>
    </dxf>
  </dxfs>
  <tableStyles count="6" defaultTableStyle="TableStyleMedium2" defaultPivotStyle="PivotStyleLight16">
    <tableStyle name="Cash Receipts" pivot="0" count="7">
      <tableStyleElement type="wholeTable" dxfId="387"/>
      <tableStyleElement type="headerRow" dxfId="386"/>
      <tableStyleElement type="totalRow" dxfId="385"/>
      <tableStyleElement type="firstColumn" dxfId="384"/>
      <tableStyleElement type="lastColumn" dxfId="383"/>
      <tableStyleElement type="firstTotalCell" dxfId="382"/>
      <tableStyleElement type="lastTotalCell" dxfId="381"/>
    </tableStyle>
    <tableStyle name="通讯簿" pivot="0" count="3">
      <tableStyleElement type="wholeTable" dxfId="380"/>
      <tableStyleElement type="headerRow" dxfId="379"/>
      <tableStyleElement type="totalRow" dxfId="378"/>
    </tableStyle>
    <tableStyle name="个人月度预算" pivot="0" count="7">
      <tableStyleElement type="wholeTable" dxfId="377"/>
      <tableStyleElement type="headerRow" dxfId="376"/>
      <tableStyleElement type="totalRow" dxfId="375"/>
      <tableStyleElement type="firstColumn" dxfId="374"/>
      <tableStyleElement type="lastColumn" dxfId="373"/>
      <tableStyleElement type="firstRowStripe" dxfId="372"/>
      <tableStyleElement type="firstColumnStripe" dxfId="371"/>
    </tableStyle>
    <tableStyle name="损益收入" pivot="0" count="4">
      <tableStyleElement type="headerRow" dxfId="370"/>
      <tableStyleElement type="totalRow" dxfId="369"/>
      <tableStyleElement type="firstRowStripe" dxfId="368"/>
      <tableStyleElement type="secondRowStripe" dxfId="367"/>
    </tableStyle>
    <tableStyle name="损益销售额" pivot="0" count="4">
      <tableStyleElement type="headerRow" dxfId="366"/>
      <tableStyleElement type="totalRow" dxfId="365"/>
      <tableStyleElement type="firstRowStripe" dxfId="364"/>
      <tableStyleElement type="secondRowStripe" dxfId="363"/>
    </tableStyle>
    <tableStyle name="自定义" pivot="0" count="3">
      <tableStyleElement type="wholeTable" dxfId="362"/>
      <tableStyleElement type="headerRow" dxfId="361"/>
      <tableStyleElement type="totalRow" dxfId="36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rPr lang="en-US"/>
              <a:t>年同比</a:t>
            </a:r>
          </a:p>
        </rich>
      </tx>
      <overlay val="0"/>
    </title>
    <plotArea>
      <layout>
        <manualLayout>
          <layoutTarget val="inner"/>
          <xMode val="edge"/>
          <yMode val="edge"/>
          <wMode val="factor"/>
          <hMode val="factor"/>
          <x val="0.0410609538383068"/>
          <y val="0.102894736842105"/>
          <w val="0.941851568477429"/>
          <h val="0.509473684210526"/>
        </manualLayout>
      </layout>
      <barChart>
        <barDir val="col"/>
        <grouping val="clustered"/>
        <varyColors val="0"/>
        <ser>
          <idx val="0"/>
          <order val="0"/>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(资产负债表!$C$6:$C$12,资产负债表!$C$15:$C$19,资产负债表!$C$22:$C$23,资产负债表!$C$29:$C$35,资产负债表!$C$38:$C$39,资产负债表!$C$42:$C$44)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ser>
          <idx val="1"/>
          <order val="1"/>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(资产负债表!$D$6:$D$12,资产负债表!$D$15:$D$19,资产负债表!$D$22:$D$23,资产负债表!$D$29:$D$35,资产负债表!$D$38:$D$39,资产负债表!$D$42:$D$44)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dLbls>
          <showLegendKey val="0"/>
          <showVal val="0"/>
          <showCatName val="0"/>
          <showSerName val="0"/>
          <showPercent val="0"/>
          <showBubbleSize val="0"/>
        </dLbls>
        <gapWidth val="75"/>
        <axId val="70048384"/>
        <axId val="70058368"/>
      </barChart>
      <catAx>
        <axId val="70048384"/>
        <scaling>
          <orientation val="minMax"/>
        </scaling>
        <delete val="0"/>
        <axPos val="b"/>
        <numFmt formatCode="General" sourceLinked="0"/>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58368"/>
        <crosses val="autoZero"/>
        <auto val="1"/>
        <lblAlgn val="ctr"/>
        <lblOffset val="100"/>
        <noMultiLvlLbl val="0"/>
      </catAx>
      <valAx>
        <axId val="70058368"/>
        <scaling>
          <orientation val="minMax"/>
        </scaling>
        <delete val="0"/>
        <axPos val="l"/>
        <majorGridlines/>
        <numFmt formatCode="_ * #,##0.00_ ;_ * \-#,##0.00_ ;_ * &quot;-&quot;??_ ;_ @_ "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48384"/>
        <crosses val="autoZero"/>
        <crossBetween val="between"/>
      </valAx>
    </plotArea>
    <legend>
      <legendPos val="b"/>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legend>
    <plotVisOnly val="1"/>
    <dispBlanksAs val="gap"/>
  </chart>
</chartSpace>
</file>

<file path=xl/comments/comment1.xml><?xml version="1.0" encoding="utf-8"?>
<comments xmlns="http://schemas.openxmlformats.org/spreadsheetml/2006/main">
  <authors>
    <author>作者</author>
  </authors>
  <commentList>
    <comment ref="D27" authorId="0" shapeId="0">
      <text>
        <t>作者:
打车退款62.54
出差北京</t>
      </text>
    </comment>
    <comment ref="D31" authorId="0" shapeId="0">
      <text>
        <t>作者:
捡手机感谢费退款200</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absolute">
    <from>
      <col>0</col>
      <colOff>0</colOff>
      <row>0</row>
      <rowOff>0</rowOff>
    </from>
    <to>
      <col>13</col>
      <colOff>390525</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CashReceipts" displayName="CashReceipts" ref="B9:S15" headerRowCount="0" totalsRowCount="1">
  <tableColumns count="18">
    <tableColumn id="1" name="Items" totalsRowLabel="总计" dataDxfId="359" totalsRowDxfId="358"/>
    <tableColumn id="17" name="Column2" dataDxfId="357" totalsRowDxfId="356"/>
    <tableColumn id="2" name="Period 0" dataDxfId="355" totalsRowDxfId="354"/>
    <tableColumn id="3" name="Period 1" totalsRowFunction="sum" dataDxfId="353" totalsRowDxfId="352"/>
    <tableColumn id="4" name="Period 2" totalsRowFunction="sum" dataDxfId="351" totalsRowDxfId="350"/>
    <tableColumn id="5" name="Period 3" totalsRowFunction="sum" dataDxfId="349" totalsRowDxfId="348"/>
    <tableColumn id="6" name="Period 4" totalsRowFunction="sum" dataDxfId="347" totalsRowDxfId="346"/>
    <tableColumn id="7" name="Period 5" totalsRowFunction="sum" dataDxfId="345" totalsRowDxfId="344"/>
    <tableColumn id="8" name="Period 6" totalsRowFunction="sum" dataDxfId="343" totalsRowDxfId="342"/>
    <tableColumn id="9" name="Period 7" totalsRowFunction="sum" dataDxfId="341" totalsRowDxfId="340"/>
    <tableColumn id="10" name="Period 8" totalsRowFunction="sum" dataDxfId="339" totalsRowDxfId="338"/>
    <tableColumn id="11" name="Period 9" totalsRowFunction="sum" dataDxfId="337" totalsRowDxfId="336"/>
    <tableColumn id="12" name="Period 10" totalsRowFunction="sum" dataDxfId="335" totalsRowDxfId="334"/>
    <tableColumn id="13" name="Period 11" totalsRowFunction="sum" dataDxfId="333" totalsRowDxfId="332"/>
    <tableColumn id="14" name="Period 12" totalsRowFunction="sum" dataDxfId="331" totalsRowDxfId="330"/>
    <tableColumn id="18" name="Column3" dataDxfId="329" totalsRowDxfId="328"/>
    <tableColumn id="15" name="Total" totalsRowFunction="sum" dataDxfId="327" totalsRowDxfId="326">
      <calculatedColumnFormula>SUM(CashReceipts[[#This Row],[Period 0]:[Period 12]])</calculatedColumnFormula>
    </tableColumn>
    <tableColumn id="16" name="Column1" dataDxfId="325" totalsRowDxfId="324"/>
  </tableColumns>
  <tableStyleInfo name="Cash Receipts" showFirstColumn="1" showLastColumn="1" showRowStripes="0" showColumnStripes="0"/>
</table>
</file>

<file path=xl/tables/table2.xml><?xml version="1.0" encoding="utf-8"?>
<table xmlns="http://schemas.openxmlformats.org/spreadsheetml/2006/main" id="2" name="CashPaidOut" displayName="CashPaidOut" ref="B27:S48" headerRowCount="0" totalsRowCount="1">
  <sortState ref="B27:S47">
    <sortCondition descending="1" ref="D27:D47"/>
  </sortState>
  <tableColumns count="18">
    <tableColumn id="1" name="Items" totalsRowLabel="总计" dataDxfId="323" totalsRowDxfId="322"/>
    <tableColumn id="17" name="Column2" dataDxfId="321" totalsRowDxfId="320"/>
    <tableColumn id="2" name="Period 0" totalsRowFunction="sum" dataDxfId="319" totalsRowDxfId="318"/>
    <tableColumn id="3" name="Period 1" totalsRowFunction="sum" dataDxfId="317" totalsRowDxfId="316"/>
    <tableColumn id="4" name="Period 2" totalsRowFunction="sum" dataDxfId="315" totalsRowDxfId="314"/>
    <tableColumn id="5" name="Period 3" totalsRowFunction="sum" dataDxfId="313" totalsRowDxfId="312"/>
    <tableColumn id="6" name="Period 4" totalsRowFunction="sum" dataDxfId="311" totalsRowDxfId="310"/>
    <tableColumn id="7" name="Period 5" totalsRowFunction="sum" dataDxfId="309" totalsRowDxfId="308"/>
    <tableColumn id="8" name="Period 6" totalsRowFunction="sum" dataDxfId="307" totalsRowDxfId="306"/>
    <tableColumn id="9" name="Period 7" totalsRowFunction="sum" dataDxfId="305" totalsRowDxfId="304"/>
    <tableColumn id="10" name="Period 8" totalsRowFunction="sum" dataDxfId="303" totalsRowDxfId="302"/>
    <tableColumn id="11" name="Period 9" totalsRowFunction="sum" dataDxfId="301" totalsRowDxfId="300"/>
    <tableColumn id="12" name="Period 10" totalsRowFunction="sum" dataDxfId="299" totalsRowDxfId="298"/>
    <tableColumn id="13" name="Period 11" totalsRowFunction="sum" dataDxfId="297" totalsRowDxfId="296"/>
    <tableColumn id="14" name="Period 12" totalsRowFunction="sum" dataDxfId="295" totalsRowDxfId="294"/>
    <tableColumn id="18" name="Column3" dataDxfId="293" totalsRowDxfId="292"/>
    <tableColumn id="15" name="Total" totalsRowFunction="sum" dataDxfId="291" totalsRowDxfId="290">
      <calculatedColumnFormula>SUM(CashPaidOut[[#This Row],[Period 0]:[Period 12]])</calculatedColumnFormula>
    </tableColumn>
    <tableColumn id="16" name="Column1" dataDxfId="289" totalsRowDxfId="288"/>
  </tableColumns>
  <tableStyleInfo name="Cash Receipts" showFirstColumn="1" showLastColumn="1" showRowStripes="0" showColumnStripes="0"/>
</table>
</file>

<file path=xl/tables/table3.xml><?xml version="1.0" encoding="utf-8"?>
<table xmlns="http://schemas.openxmlformats.org/spreadsheetml/2006/main" id="3" name="CashPaidOut2" displayName="CashPaidOut2" ref="B51:S56" headerRowCount="0" totalsRowCount="1">
  <tableColumns count="18">
    <tableColumn id="1" name="Items" totalsRowLabel="总计" dataDxfId="287" totalsRowDxfId="286" totalsRowCellStyle="常规 2"/>
    <tableColumn id="17" name="Column2" dataDxfId="285" totalsRowDxfId="284" totalsRowCellStyle="常规 2"/>
    <tableColumn id="2" name="Period 0" totalsRowFunction="sum" dataDxfId="283" totalsRowDxfId="282" totalsRowCellStyle="常规 2"/>
    <tableColumn id="3" name="Period 1" totalsRowFunction="sum" dataDxfId="281" totalsRowDxfId="280" totalsRowCellStyle="常规 2"/>
    <tableColumn id="4" name="Period 2" totalsRowFunction="sum" dataDxfId="279" totalsRowDxfId="278" totalsRowCellStyle="常规 2"/>
    <tableColumn id="5" name="Period 3" totalsRowFunction="sum" dataDxfId="277" totalsRowDxfId="276" totalsRowCellStyle="常规 2"/>
    <tableColumn id="6" name="Period 4" totalsRowFunction="sum" dataDxfId="275" totalsRowDxfId="274" totalsRowCellStyle="常规 2"/>
    <tableColumn id="7" name="Period 5" totalsRowFunction="sum" dataDxfId="273" totalsRowDxfId="272" totalsRowCellStyle="常规 2"/>
    <tableColumn id="8" name="Period 6" totalsRowFunction="sum" dataDxfId="271" totalsRowDxfId="270" totalsRowCellStyle="常规 2"/>
    <tableColumn id="9" name="Period 7" totalsRowFunction="sum" dataDxfId="269" totalsRowDxfId="268" totalsRowCellStyle="常规 2"/>
    <tableColumn id="10" name="Period 8" totalsRowFunction="sum" dataDxfId="267" totalsRowDxfId="266" totalsRowCellStyle="常规 2"/>
    <tableColumn id="11" name="Period 9" totalsRowFunction="sum" dataDxfId="265" totalsRowDxfId="264" totalsRowCellStyle="常规 2"/>
    <tableColumn id="12" name="Period 10" totalsRowFunction="sum" dataDxfId="263" totalsRowDxfId="262" totalsRowCellStyle="常规 2"/>
    <tableColumn id="13" name="Period 11" totalsRowFunction="sum" dataDxfId="261" totalsRowDxfId="260" totalsRowCellStyle="常规 2"/>
    <tableColumn id="14" name="Period 12" totalsRowFunction="sum" dataDxfId="259" totalsRowDxfId="258" totalsRowCellStyle="常规 2"/>
    <tableColumn id="18" name="Column3" dataDxfId="257" totalsRowDxfId="256" totalsRowCellStyle="常规 2"/>
    <tableColumn id="15" name="Total" totalsRowFunction="sum" dataDxfId="255" totalsRowDxfId="254" totalsRowCellStyle="常规 2">
      <calculatedColumnFormula>SUM(CashPaidOut2[[#This Row],[Period 0]:[Period 12]])</calculatedColumnFormula>
    </tableColumn>
    <tableColumn id="16" name="Column1" dataDxfId="253" totalsRowDxfId="252" totalsRowCellStyle="常规 2"/>
  </tableColumns>
  <tableStyleInfo name="Cash Receipts" showFirstColumn="1" showLastColumn="1" showRowStripes="0" showColumnStripes="0"/>
</table>
</file>

<file path=xl/tables/table4.xml><?xml version="1.0" encoding="utf-8"?>
<table xmlns="http://schemas.openxmlformats.org/spreadsheetml/2006/main" id="4" name="CashPaidOut26" displayName="CashPaidOut26" ref="B59:S64" headerRowCount="0" totalsRowCount="1">
  <tableColumns count="18">
    <tableColumn id="1" name="Items" totalsRowLabel="总计" dataDxfId="251"/>
    <tableColumn id="17" name="Column2" dataDxfId="250"/>
    <tableColumn id="2" name="Period 0" totalsRowFunction="sum" dataDxfId="249"/>
    <tableColumn id="3" name="Period 1" totalsRowFunction="sum" dataDxfId="248"/>
    <tableColumn id="4" name="Period 2" totalsRowFunction="sum" dataDxfId="247"/>
    <tableColumn id="5" name="Period 3" totalsRowFunction="sum" dataDxfId="246"/>
    <tableColumn id="6" name="Period 4" totalsRowFunction="sum" dataDxfId="245"/>
    <tableColumn id="7" name="Period 5" totalsRowFunction="sum" dataDxfId="244"/>
    <tableColumn id="8" name="Period 6" totalsRowFunction="sum" dataDxfId="243"/>
    <tableColumn id="9" name="Period 7" totalsRowFunction="sum" dataDxfId="242"/>
    <tableColumn id="10" name="Period 8" totalsRowFunction="sum" dataDxfId="241"/>
    <tableColumn id="11" name="Period 9" totalsRowFunction="sum" dataDxfId="240"/>
    <tableColumn id="12" name="Period 10" totalsRowFunction="sum" dataDxfId="239"/>
    <tableColumn id="13" name="Period 11" totalsRowFunction="sum" dataDxfId="238"/>
    <tableColumn id="14" name="Period 12" totalsRowFunction="sum" dataDxfId="237"/>
    <tableColumn id="18" name="Column3" dataDxfId="236"/>
    <tableColumn id="15" name="Total" totalsRowFunction="sum" dataDxfId="235">
      <calculatedColumnFormula>SUM(CashPaidOut26[[#This Row],[Period 0]:[Period 12]])</calculatedColumnFormula>
    </tableColumn>
    <tableColumn id="16" name="Column1" dataDxfId="234"/>
  </tableColumns>
  <tableStyleInfo name="Cash Receipts" showFirstColumn="1" showLastColumn="1" showRowStripes="0" showColumnStripes="0"/>
</table>
</file>

<file path=xl/tables/table5.xml><?xml version="1.0" encoding="utf-8"?>
<table xmlns="http://schemas.openxmlformats.org/spreadsheetml/2006/main" id="5" name="CashPaidOut218" displayName="CashPaidOut218" ref="B19:S24" headerRowCount="0" totalsRowCount="1">
  <tableColumns count="18">
    <tableColumn id="1" name="Items" totalsRowLabel="总计" dataDxfId="233" totalsRowDxfId="232"/>
    <tableColumn id="17" name="Column2" dataDxfId="231" totalsRowDxfId="230"/>
    <tableColumn id="2" name="Period 0" totalsRowFunction="sum" dataDxfId="229" totalsRowDxfId="228"/>
    <tableColumn id="3" name="Period 1" totalsRowFunction="sum" dataDxfId="227" totalsRowDxfId="226"/>
    <tableColumn id="4" name="Period 2" totalsRowFunction="sum" dataDxfId="225" totalsRowDxfId="224"/>
    <tableColumn id="5" name="Period 3" totalsRowFunction="sum" dataDxfId="223" totalsRowDxfId="222"/>
    <tableColumn id="6" name="Period 4" totalsRowFunction="sum" dataDxfId="221" totalsRowDxfId="220"/>
    <tableColumn id="7" name="Period 5" totalsRowFunction="sum" dataDxfId="219" totalsRowDxfId="218"/>
    <tableColumn id="8" name="Period 6" totalsRowFunction="sum" dataDxfId="217" totalsRowDxfId="216"/>
    <tableColumn id="9" name="Period 7" totalsRowFunction="sum" dataDxfId="215" totalsRowDxfId="214"/>
    <tableColumn id="10" name="Period 8" totalsRowFunction="sum" dataDxfId="213" totalsRowDxfId="212"/>
    <tableColumn id="11" name="Period 9" totalsRowFunction="sum" dataDxfId="211" totalsRowDxfId="210"/>
    <tableColumn id="12" name="Period 10" totalsRowFunction="sum" dataDxfId="209" totalsRowDxfId="208"/>
    <tableColumn id="13" name="Period 11" totalsRowFunction="sum" dataDxfId="207" totalsRowDxfId="206"/>
    <tableColumn id="14" name="Period 12" totalsRowFunction="sum" dataDxfId="205" totalsRowDxfId="204"/>
    <tableColumn id="18" name="Column3" dataDxfId="203" totalsRowDxfId="202"/>
    <tableColumn id="15" name="Total" totalsRowFunction="sum" dataDxfId="201" totalsRowDxfId="200">
      <calculatedColumnFormula>SUM(CashPaidOut218[[#This Row],[Period 0]:[Period 12]])</calculatedColumnFormula>
    </tableColumn>
    <tableColumn id="16" name="Column1" dataDxfId="199" totalsRowDxfId="198"/>
  </tableColumns>
  <tableStyleInfo name="Cash Receipts" showFirstColumn="1" showLastColumn="1" showRowStripes="0" showColumnStripes="0"/>
</table>
</file>

<file path=xl/tables/table6.xml><?xml version="1.0" encoding="utf-8"?>
<table xmlns="http://schemas.openxmlformats.org/spreadsheetml/2006/main" id="6" name="住房" displayName="住房" ref="B15:E26" headerRowCount="1" totalsRowCount="1">
  <tableColumns count="4">
    <tableColumn id="1" name="0" totalsRowLabel="小计" dataDxfId="197"/>
    <tableColumn id="2" name="预计_x000a_费用" dataDxfId="196"/>
    <tableColumn id="3" name="实际_x000a_费用" dataDxfId="195"/>
    <tableColumn id="4" name="差额" totalsRowFunction="sum" dataDxfId="194">
      <calculatedColumnFormula>住房[[#This Row],[预计
费用]]-住房[[#This Row],[实际
费用]]</calculatedColumnFormula>
    </tableColumn>
  </tableColumns>
  <tableStyleInfo name="通讯簿" showFirstColumn="0" showLastColumn="0" showRowStripes="1" showColumnStripes="0"/>
</table>
</file>

<file path=xl/tables/table7.xml><?xml version="1.0" encoding="utf-8"?>
<table xmlns="http://schemas.openxmlformats.org/spreadsheetml/2006/main" id="7" name="娱乐" displayName="娱乐" ref="G15:J25" headerRowCount="1" totalsRowCount="1">
  <tableColumns count="4">
    <tableColumn id="1" name="0" totalsRowLabel="小计" dataDxfId="193"/>
    <tableColumn id="2" name="预计_x000a_费用" dataDxfId="192"/>
    <tableColumn id="3" name="实际_x000a_费用" dataDxfId="191"/>
    <tableColumn id="4" name="差额" totalsRowFunction="sum" dataDxfId="190">
      <calculatedColumnFormula>娱乐[[#This Row],[预计
费用]]-娱乐[[#This Row],[实际
费用]]</calculatedColumnFormula>
    </tableColumn>
  </tableColumns>
  <tableStyleInfo name="通讯簿" showFirstColumn="1" showLastColumn="1" showRowStripes="1" showColumnStripes="0"/>
</table>
</file>

<file path=xl/tables/table8.xml><?xml version="1.0" encoding="utf-8"?>
<table xmlns="http://schemas.openxmlformats.org/spreadsheetml/2006/main" id="8" name="贷款" displayName="贷款" ref="G29:J36" headerRowCount="1" totalsRowCount="1">
  <tableColumns count="4">
    <tableColumn id="1" name="0" totalsRowLabel="小计" dataDxfId="189"/>
    <tableColumn id="2" name="预计_x000a_费用" dataDxfId="188"/>
    <tableColumn id="3" name="实际_x000a_费用" dataDxfId="187"/>
    <tableColumn id="4" name="差额" totalsRowFunction="sum" dataDxfId="186">
      <calculatedColumnFormula>贷款[[#This Row],[预计
费用]]-贷款[[#This Row],[实际
费用]]</calculatedColumnFormula>
    </tableColumn>
  </tableColumns>
  <tableStyleInfo name="通讯簿" showFirstColumn="0" showLastColumn="0" showRowStripes="0" showColumnStripes="0"/>
</table>
</file>

<file path=xl/tables/table9.xml><?xml version="1.0" encoding="utf-8"?>
<table xmlns="http://schemas.openxmlformats.org/spreadsheetml/2006/main" id="9" name="交通" displayName="交通" ref="B29:E37" headerRowCount="1" totalsRowCount="1">
  <tableColumns count="4">
    <tableColumn id="1" name="0" totalsRowLabel="小计" dataDxfId="185"/>
    <tableColumn id="2" name="预计_x000a_费用" dataDxfId="184"/>
    <tableColumn id="3" name="实际_x000a_费用" dataDxfId="183"/>
    <tableColumn id="4" name="差额" totalsRowFunction="sum" dataDxfId="182">
      <calculatedColumnFormula>交通[[#This Row],[预计
费用]]-交通[[#This Row],[实际
费用]]</calculatedColumnFormula>
    </tableColumn>
  </tableColumns>
  <tableStyleInfo name="通讯簿" showFirstColumn="1" showLastColumn="1" showRowStripes="1" showColumnStripes="0"/>
</table>
</file>

<file path=xl/tables/table10.xml><?xml version="1.0" encoding="utf-8"?>
<table xmlns="http://schemas.openxmlformats.org/spreadsheetml/2006/main" id="10" name="保险" displayName="保险" ref="B40:E45" headerRowCount="1" totalsRowCount="1">
  <tableColumns count="4">
    <tableColumn id="1" name="0" totalsRowLabel="小计" dataDxfId="181"/>
    <tableColumn id="2" name="预计_x000a_费用" dataDxfId="180"/>
    <tableColumn id="3" name="实际_x000a_费用" dataDxfId="179"/>
    <tableColumn id="4" name="差额" totalsRowFunction="sum" dataDxfId="178">
      <calculatedColumnFormula>保险[[#This Row],[预计
费用]]-保险[[#This Row],[实际
费用]]</calculatedColumnFormula>
    </tableColumn>
  </tableColumns>
  <tableStyleInfo name="通讯簿" showFirstColumn="1" showLastColumn="1" showRowStripes="1" showColumnStripes="0"/>
</table>
</file>

<file path=xl/tables/table11.xml><?xml version="1.0" encoding="utf-8"?>
<table xmlns="http://schemas.openxmlformats.org/spreadsheetml/2006/main" id="11" name="税款" displayName="税款" ref="G40:J45" headerRowCount="1" totalsRowCount="1">
  <tableColumns count="4">
    <tableColumn id="1" name="0" totalsRowLabel="小计" dataDxfId="177"/>
    <tableColumn id="2" name="预计_x000a_费用" dataDxfId="176"/>
    <tableColumn id="3" name="实际_x000a_费用" dataDxfId="175"/>
    <tableColumn id="4" name="差额" totalsRowFunction="sum" dataDxfId="174">
      <calculatedColumnFormula>税款[[#This Row],[预计
费用]]-税款[[#This Row],[实际
费用]]</calculatedColumnFormula>
    </tableColumn>
  </tableColumns>
  <tableStyleInfo name="通讯簿" showFirstColumn="1" showLastColumn="1" showRowStripes="1" showColumnStripes="0"/>
</table>
</file>

<file path=xl/tables/table12.xml><?xml version="1.0" encoding="utf-8"?>
<table xmlns="http://schemas.openxmlformats.org/spreadsheetml/2006/main" id="12" name="存款" displayName="存款" ref="G48:J52" headerRowCount="1" totalsRowCount="1">
  <tableColumns count="4">
    <tableColumn id="1" name="0" totalsRowLabel="小计" dataDxfId="173"/>
    <tableColumn id="2" name="预计_x000a_费用" dataDxfId="172"/>
    <tableColumn id="3" name="实际_x000a_费用" dataDxfId="171"/>
    <tableColumn id="4" name="差额" totalsRowFunction="sum" dataDxfId="170">
      <calculatedColumnFormula>存款[[#This Row],[预计
费用]]-存款[[#This Row],[实际
费用]]</calculatedColumnFormula>
    </tableColumn>
  </tableColumns>
  <tableStyleInfo name="通讯簿" showFirstColumn="1" showLastColumn="1" showRowStripes="1" showColumnStripes="0"/>
</table>
</file>

<file path=xl/tables/table13.xml><?xml version="1.0" encoding="utf-8"?>
<table xmlns="http://schemas.openxmlformats.org/spreadsheetml/2006/main" id="13" name="食品" displayName="食品" ref="B48:E52" headerRowCount="1" totalsRowCount="1">
  <tableColumns count="4">
    <tableColumn id="1" name="0" totalsRowLabel="小计" dataDxfId="169"/>
    <tableColumn id="2" name="预计_x000a_费用" dataDxfId="168"/>
    <tableColumn id="3" name="实际_x000a_费用" dataDxfId="167"/>
    <tableColumn id="4" name="差额" totalsRowFunction="sum" dataDxfId="166">
      <calculatedColumnFormula>食品[[#This Row],[预计
费用]]-食品[[#This Row],[实际
费用]]</calculatedColumnFormula>
    </tableColumn>
  </tableColumns>
  <tableStyleInfo name="通讯簿" showFirstColumn="1" showLastColumn="1" showRowStripes="1" showColumnStripes="0"/>
</table>
</file>

<file path=xl/tables/table14.xml><?xml version="1.0" encoding="utf-8"?>
<table xmlns="http://schemas.openxmlformats.org/spreadsheetml/2006/main" id="14" name="礼品" displayName="礼品" ref="G55:J59" headerRowCount="1" totalsRowCount="1">
  <tableColumns count="4">
    <tableColumn id="1" name="0" totalsRowLabel="小计" dataDxfId="165"/>
    <tableColumn id="2" name="预计_x000a_费用" dataDxfId="164"/>
    <tableColumn id="3" name="实际_x000a_费用" dataDxfId="163"/>
    <tableColumn id="4" name="差额" totalsRowFunction="sum" dataDxfId="162">
      <calculatedColumnFormula>礼品[[#This Row],[预计
费用]]-礼品[[#This Row],[实际
费用]]</calculatedColumnFormula>
    </tableColumn>
  </tableColumns>
  <tableStyleInfo name="通讯簿" showFirstColumn="1" showLastColumn="1" showRowStripes="1" showColumnStripes="0"/>
</table>
</file>

<file path=xl/tables/table15.xml><?xml version="1.0" encoding="utf-8"?>
<table xmlns="http://schemas.openxmlformats.org/spreadsheetml/2006/main" id="15" name="宠物" displayName="宠物" ref="B55:E61" headerRowCount="1" totalsRowCount="1">
  <tableColumns count="4">
    <tableColumn id="1" name="0" totalsRowLabel="小计" dataDxfId="161"/>
    <tableColumn id="2" name="预计_x000a_费用" dataDxfId="160"/>
    <tableColumn id="3" name="实际_x000a_费用" dataDxfId="159"/>
    <tableColumn id="4" name="差额" totalsRowFunction="sum" dataDxfId="158">
      <calculatedColumnFormula>宠物[[#This Row],[预计
费用]]-宠物[[#This Row],[实际
费用]]</calculatedColumnFormula>
    </tableColumn>
  </tableColumns>
  <tableStyleInfo name="通讯簿" showFirstColumn="1" showLastColumn="1" showRowStripes="1" showColumnStripes="0"/>
</table>
</file>

<file path=xl/tables/table16.xml><?xml version="1.0" encoding="utf-8"?>
<table xmlns="http://schemas.openxmlformats.org/spreadsheetml/2006/main" id="16" name="法务" displayName="法务" ref="G64:J69" headerRowCount="1" totalsRowCount="1">
  <tableColumns count="4">
    <tableColumn id="1" name="法务" totalsRowLabel="小计" dataDxfId="157"/>
    <tableColumn id="2" name="预计_x000a_费用" dataDxfId="156"/>
    <tableColumn id="3" name="实际_x000a_费用" dataDxfId="155"/>
    <tableColumn id="4" name="差额" totalsRowFunction="sum" dataDxfId="154">
      <calculatedColumnFormula>法务[[#This Row],[预计
费用]]-法务[[#This Row],[实际
费用]]</calculatedColumnFormula>
    </tableColumn>
  </tableColumns>
  <tableStyleInfo name="通讯簿" showFirstColumn="1" showLastColumn="1" showRowStripes="1" showColumnStripes="0"/>
</table>
</file>

<file path=xl/tables/table17.xml><?xml version="1.0" encoding="utf-8"?>
<table xmlns="http://schemas.openxmlformats.org/spreadsheetml/2006/main" id="17" name="个人护理" displayName="个人护理" ref="B64:E72" headerRowCount="1" totalsRowCount="1">
  <tableColumns count="4">
    <tableColumn id="1" name="0" totalsRowLabel="小计" dataDxfId="153"/>
    <tableColumn id="2" name="预计_x000a_费用" dataDxfId="152"/>
    <tableColumn id="3" name="实际_x000a_费用" dataDxfId="151"/>
    <tableColumn id="4" name="差额" totalsRowFunction="sum" dataDxfId="150">
      <calculatedColumnFormula>个人护理[[#This Row],[预计
费用]]-个人护理[[#This Row],[实际
费用]]</calculatedColumnFormula>
    </tableColumn>
  </tableColumns>
  <tableStyleInfo name="通讯簿" showFirstColumn="1" showLastColumn="1" showRowStripes="1" showColumnStripes="0"/>
</table>
</file>

<file path=xl/tables/table18.xml><?xml version="1.0" encoding="utf-8"?>
<table xmlns="http://schemas.openxmlformats.org/spreadsheetml/2006/main" id="18" name="收入" displayName="收入" ref="B6:AD14" headerRowCount="1" totalsRowCount="1">
  <autoFilter ref="B6:AD1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autoFilter>
  <tableColumns count="29">
    <tableColumn id="1" name="收入" totalsRowLabel="总销售额" dataDxfId="149"/>
    <tableColumn id="29" name="趋势" dataDxfId="148"/>
    <tableColumn id="2" name="1 月" totalsRowFunction="sum" dataDxfId="147"/>
    <tableColumn id="3" name="2 月" totalsRowFunction="sum" dataDxfId="146"/>
    <tableColumn id="4" name="3 月" totalsRowFunction="sum" dataDxfId="145"/>
    <tableColumn id="5" name="4 月" totalsRowFunction="sum" dataDxfId="144"/>
    <tableColumn id="6" name="5 月" totalsRowFunction="sum" dataDxfId="143"/>
    <tableColumn id="7" name="6 月" totalsRowFunction="sum" dataDxfId="142"/>
    <tableColumn id="8" name="7 月" totalsRowFunction="sum" dataDxfId="141"/>
    <tableColumn id="9" name="8 月" totalsRowFunction="sum" dataDxfId="140"/>
    <tableColumn id="10" name="9 月" totalsRowFunction="sum" dataDxfId="139"/>
    <tableColumn id="11" name="10 月" totalsRowFunction="sum" dataDxfId="138"/>
    <tableColumn id="12" name="11 月" totalsRowFunction="sum" dataDxfId="137"/>
    <tableColumn id="13" name="12 月" totalsRowFunction="sum" dataDxfId="136"/>
    <tableColumn id="14" name="年度" totalsRowFunction="sum" dataDxfId="135">
      <calculatedColumnFormula>SUM(收入[[#This Row],[1 月]:[12 月]])</calculatedColumnFormula>
    </tableColumn>
    <tableColumn id="15" name="行业百分比" totalsRowFunction="sum" dataDxfId="134"/>
    <tableColumn id="16" name="1 月 %" totalsRowFunction="sum" dataDxfId="133">
      <calculatedColumnFormula>IFERROR(收入[[#This Row],[1 月]]/收入[[#Totals],[1 月]],"-")</calculatedColumnFormula>
    </tableColumn>
    <tableColumn id="17" name="2 月 %" totalsRowFunction="sum" dataDxfId="132">
      <calculatedColumnFormula>IFERROR(收入[[#This Row],[2 月]]/收入[[#Totals],[2 月]],"-")</calculatedColumnFormula>
    </tableColumn>
    <tableColumn id="18" name="3 月 %" totalsRowFunction="sum" dataDxfId="131">
      <calculatedColumnFormula>IFERROR(收入[[#This Row],[3 月]]/收入[[#Totals],[3 月]],"-")</calculatedColumnFormula>
    </tableColumn>
    <tableColumn id="19" name="4 月 %" totalsRowFunction="sum" dataDxfId="130">
      <calculatedColumnFormula>IFERROR(收入[[#This Row],[4 月]]/收入[[#Totals],[4 月]],"-")</calculatedColumnFormula>
    </tableColumn>
    <tableColumn id="20" name="5 月 %" totalsRowFunction="sum" dataDxfId="129">
      <calculatedColumnFormula>IFERROR(收入[[#This Row],[5 月]]/收入[[#Totals],[5 月]],"-")</calculatedColumnFormula>
    </tableColumn>
    <tableColumn id="21" name="6 月 %" totalsRowFunction="sum" dataDxfId="128">
      <calculatedColumnFormula>IFERROR(收入[[#This Row],[6 月]]/收入[[#Totals],[6 月]],"-")</calculatedColumnFormula>
    </tableColumn>
    <tableColumn id="22" name="7 月 %" totalsRowFunction="sum" dataDxfId="127">
      <calculatedColumnFormula>IFERROR(收入[[#This Row],[7 月]]/收入[[#Totals],[7 月]],"-")</calculatedColumnFormula>
    </tableColumn>
    <tableColumn id="23" name="8 月 %" totalsRowFunction="sum" dataDxfId="126">
      <calculatedColumnFormula>IFERROR(收入[[#This Row],[8 月]]/收入[[#Totals],[8 月]],"-")</calculatedColumnFormula>
    </tableColumn>
    <tableColumn id="24" name="9 月 %" totalsRowFunction="sum" dataDxfId="125">
      <calculatedColumnFormula>IFERROR(收入[[#This Row],[9 月]]/收入[[#Totals],[9 月]],"-")</calculatedColumnFormula>
    </tableColumn>
    <tableColumn id="25" name="10 月 %" totalsRowFunction="sum" dataDxfId="124">
      <calculatedColumnFormula>IFERROR(收入[[#This Row],[10 月]]/收入[[#Totals],[10 月]],"-")</calculatedColumnFormula>
    </tableColumn>
    <tableColumn id="26" name="11 月 %" totalsRowFunction="sum" dataDxfId="123">
      <calculatedColumnFormula>IFERROR(收入[[#This Row],[11 月]]/收入[[#Totals],[11 月]],"-")</calculatedColumnFormula>
    </tableColumn>
    <tableColumn id="27" name="12 月 %" totalsRowFunction="sum" dataDxfId="122">
      <calculatedColumnFormula>IFERROR(收入[[#This Row],[12 月]]/收入[[#Totals],[12 月]],"-")</calculatedColumnFormula>
    </tableColumn>
    <tableColumn id="28" name="年度 %" totalsRowFunction="sum" dataDxfId="121">
      <calculatedColumnFormula>IFERROR(收入[[#This Row],[年度]]/收入[[#Totals],[年度]],"-")</calculatedColumnFormula>
    </tableColumn>
  </tableColumns>
  <tableStyleInfo name="损益收入" showFirstColumn="1" showLastColumn="1" showRowStripes="1" showColumnStripes="0"/>
</table>
</file>

<file path=xl/tables/table19.xml><?xml version="1.0" encoding="utf-8"?>
<table xmlns="http://schemas.openxmlformats.org/spreadsheetml/2006/main" id="19" name="CostofSales" displayName="CostofSales" ref="B6:AD15" headerRowCount="1" totalsRowCount="1">
  <tableColumns count="29">
    <tableColumn id="1" name="成本" totalsRowLabel="毛利润" dataDxfId="120"/>
    <tableColumn id="2" name="趋势" dataDxfId="119"/>
    <tableColumn id="3" name="1 月" totalsRowFunction="custom">
      <totalsRowFormula>收入!D14-D14</totalsRowFormula>
    </tableColumn>
    <tableColumn id="4" name="2 月" totalsRowFunction="custom">
      <totalsRowFormula>收入!E14-E14</totalsRowFormula>
    </tableColumn>
    <tableColumn id="5" name="3 月" totalsRowFunction="custom">
      <totalsRowFormula>收入!F14-F14</totalsRowFormula>
    </tableColumn>
    <tableColumn id="6" name="4 月" totalsRowFunction="custom">
      <totalsRowFormula>收入!G14-G14</totalsRowFormula>
    </tableColumn>
    <tableColumn id="7" name="5 月" totalsRowFunction="custom">
      <totalsRowFormula>收入!H14-H14</totalsRowFormula>
    </tableColumn>
    <tableColumn id="8" name="6 月" totalsRowFunction="custom">
      <totalsRowFormula>收入!I14-I14</totalsRowFormula>
    </tableColumn>
    <tableColumn id="9" name="7 月" totalsRowFunction="custom">
      <totalsRowFormula>收入!J14-J14</totalsRowFormula>
    </tableColumn>
    <tableColumn id="10" name="8 月" totalsRowFunction="custom">
      <totalsRowFormula>收入!K14-K14</totalsRowFormula>
    </tableColumn>
    <tableColumn id="11" name="9 月" totalsRowFunction="custom">
      <totalsRowFormula>收入!L14-L14</totalsRowFormula>
    </tableColumn>
    <tableColumn id="12" name="10 月" totalsRowFunction="custom">
      <totalsRowFormula>收入!M14-M14</totalsRowFormula>
    </tableColumn>
    <tableColumn id="13" name="11 月" totalsRowFunction="custom">
      <totalsRowFormula>收入!N14-N14</totalsRowFormula>
    </tableColumn>
    <tableColumn id="14" name="12 月" totalsRowFunction="custom">
      <totalsRowFormula>收入!O14-O14</totalsRowFormula>
    </tableColumn>
    <tableColumn id="15" name="年度" totalsRowFunction="custom">
      <calculatedColumnFormula>收入!P14-P14</calculatedColumnFormula>
      <totalsRowFormula>收入!P14-P14</totalsRowFormula>
    </tableColumn>
    <tableColumn id="16" name="指数 %" dataDxfId="118"/>
    <tableColumn id="17" name="1 月 %" dataDxfId="117">
      <calculatedColumnFormula>D7/D$14</calculatedColumnFormula>
    </tableColumn>
    <tableColumn id="18" name="2 月 %" dataDxfId="116">
      <calculatedColumnFormula>E7/E$14</calculatedColumnFormula>
    </tableColumn>
    <tableColumn id="19" name="3 月 %" dataDxfId="115">
      <calculatedColumnFormula>F7/F$14</calculatedColumnFormula>
    </tableColumn>
    <tableColumn id="20" name="4 月 %" dataDxfId="114">
      <calculatedColumnFormula>G7/G$14</calculatedColumnFormula>
    </tableColumn>
    <tableColumn id="21" name="5 月 %" dataDxfId="113">
      <calculatedColumnFormula>H7/H$14</calculatedColumnFormula>
    </tableColumn>
    <tableColumn id="22" name="6 月 %" dataDxfId="112">
      <calculatedColumnFormula>I7/I$14</calculatedColumnFormula>
    </tableColumn>
    <tableColumn id="23" name="7 月 %" dataDxfId="111">
      <calculatedColumnFormula>J7/J$14</calculatedColumnFormula>
    </tableColumn>
    <tableColumn id="24" name="8 月 %" dataDxfId="110">
      <calculatedColumnFormula>K7/K$14</calculatedColumnFormula>
    </tableColumn>
    <tableColumn id="25" name="9 月 %" dataDxfId="109">
      <calculatedColumnFormula>L7/L$14</calculatedColumnFormula>
    </tableColumn>
    <tableColumn id="26" name="10 月 %" dataDxfId="108">
      <calculatedColumnFormula>M7/M$14</calculatedColumnFormula>
    </tableColumn>
    <tableColumn id="27" name="11 月 %" dataDxfId="107">
      <calculatedColumnFormula>N7/N$14</calculatedColumnFormula>
    </tableColumn>
    <tableColumn id="28" name="12 月 %" dataDxfId="106">
      <calculatedColumnFormula>O7/O$14</calculatedColumnFormula>
    </tableColumn>
    <tableColumn id="29" name="年度 %" dataDxfId="105">
      <calculatedColumnFormula>P7/P$14</calculatedColumnFormula>
    </tableColumn>
  </tableColumns>
  <tableStyleInfo name="损益销售额" showFirstColumn="1" showLastColumn="1" showRowStripes="1" showColumnStripes="0"/>
</table>
</file>

<file path=xl/tables/table20.xml><?xml version="1.0" encoding="utf-8"?>
<table xmlns="http://schemas.openxmlformats.org/spreadsheetml/2006/main" id="20" name="tblExpenses" displayName="tblExpenses" ref="B6:AD27" headerRowCount="1" totalsRowCount="1">
  <tableColumns count="29">
    <tableColumn id="1" name="费用" totalsRowLabel="净利润" dataDxfId="104"/>
    <tableColumn id="2" name="趋势" dataDxfId="103"/>
    <tableColumn id="3" name="1 月" totalsRowFunction="custom">
      <totalsRowFormula>成本!D15-D26</totalsRowFormula>
    </tableColumn>
    <tableColumn id="4" name="2 月" totalsRowFunction="custom">
      <totalsRowFormula>成本!E15-E26</totalsRowFormula>
    </tableColumn>
    <tableColumn id="5" name="3 月" totalsRowFunction="custom">
      <totalsRowFormula>成本!F15-F26</totalsRowFormula>
    </tableColumn>
    <tableColumn id="6" name="4 月" totalsRowFunction="custom">
      <totalsRowFormula>成本!G15-G26</totalsRowFormula>
    </tableColumn>
    <tableColumn id="7" name="5 月" totalsRowFunction="custom">
      <totalsRowFormula>成本!H15-H26</totalsRowFormula>
    </tableColumn>
    <tableColumn id="8" name="6 月" totalsRowFunction="custom">
      <totalsRowFormula>成本!I15-I26</totalsRowFormula>
    </tableColumn>
    <tableColumn id="9" name="7 月" totalsRowFunction="custom">
      <totalsRowFormula>成本!J15-J26</totalsRowFormula>
    </tableColumn>
    <tableColumn id="10" name="8 月" totalsRowFunction="custom">
      <totalsRowFormula>成本!K15-K26</totalsRowFormula>
    </tableColumn>
    <tableColumn id="11" name="9 月" totalsRowFunction="custom">
      <totalsRowFormula>成本!L15-L26</totalsRowFormula>
    </tableColumn>
    <tableColumn id="12" name="10 月" totalsRowFunction="custom">
      <totalsRowFormula>成本!M15-M26</totalsRowFormula>
    </tableColumn>
    <tableColumn id="13" name="11 月" totalsRowFunction="custom">
      <totalsRowFormula>成本!N15-N26</totalsRowFormula>
    </tableColumn>
    <tableColumn id="14" name="12 月" totalsRowFunction="custom">
      <totalsRowFormula>成本!O15-O26</totalsRowFormula>
    </tableColumn>
    <tableColumn id="15" name="年度" totalsRowFunction="custom">
      <calculatedColumnFormula>成本!P15-P26</calculatedColumnFormula>
      <totalsRowFormula>成本!P15-P26</totalsRowFormula>
    </tableColumn>
    <tableColumn id="16" name="指数 %" dataDxfId="102"/>
    <tableColumn id="17" name="1 月 %" dataDxfId="101">
      <calculatedColumnFormula>D7/D$26</calculatedColumnFormula>
    </tableColumn>
    <tableColumn id="18" name="2 月 %" dataDxfId="100">
      <calculatedColumnFormula>E7/E$26</calculatedColumnFormula>
    </tableColumn>
    <tableColumn id="19" name="3 月 %" dataDxfId="99">
      <calculatedColumnFormula>F7/F$26</calculatedColumnFormula>
    </tableColumn>
    <tableColumn id="20" name="4 月 %" dataDxfId="98">
      <calculatedColumnFormula>G7/G$26</calculatedColumnFormula>
    </tableColumn>
    <tableColumn id="21" name="5 月 %" dataDxfId="97">
      <calculatedColumnFormula>H7/H$26</calculatedColumnFormula>
    </tableColumn>
    <tableColumn id="22" name="6 月 %" dataDxfId="96">
      <calculatedColumnFormula>I7/I$26</calculatedColumnFormula>
    </tableColumn>
    <tableColumn id="23" name="7 月 %" dataDxfId="95">
      <calculatedColumnFormula>J7/J$26</calculatedColumnFormula>
    </tableColumn>
    <tableColumn id="24" name="8 月 %" dataDxfId="94">
      <calculatedColumnFormula>K7/K$26</calculatedColumnFormula>
    </tableColumn>
    <tableColumn id="25" name="9 月 %" dataDxfId="93">
      <calculatedColumnFormula>L7/L$26</calculatedColumnFormula>
    </tableColumn>
    <tableColumn id="26" name="10 月 %" dataDxfId="92">
      <calculatedColumnFormula>M7/M$26</calculatedColumnFormula>
    </tableColumn>
    <tableColumn id="27" name="11 月 %" dataDxfId="91">
      <calculatedColumnFormula>N7/N$26</calculatedColumnFormula>
    </tableColumn>
    <tableColumn id="28" name="12 月 %" dataDxfId="90">
      <calculatedColumnFormula>O7/O$26</calculatedColumnFormula>
    </tableColumn>
    <tableColumn id="29" name="年度 %" dataDxfId="89">
      <calculatedColumnFormula>P7/P$26</calculatedColumnFormula>
    </tableColumn>
  </tableColumns>
  <tableStyleInfo name="自定义" showFirstColumn="0" showLastColumn="0" showRowStripes="1" showColumnStripes="0"/>
</table>
</file>

<file path=xl/tables/table21.xml><?xml version="1.0" encoding="utf-8"?>
<table xmlns="http://schemas.openxmlformats.org/spreadsheetml/2006/main" id="21" name="固定资产" displayName="固定资产" ref="B14:O19" headerRowCount="1" totalsRowCount="1">
  <autoFilter ref="B14:O18"/>
  <tableColumns count="14">
    <tableColumn id="1" name="固定资产：" totalsRowLabel="固定资产总额" dataDxfId="88"/>
    <tableColumn id="2" name="上一年度" totalsRowFunction="sum" dataDxfId="87"/>
    <tableColumn id="3" name="1月" totalsRowFunction="sum" dataDxfId="86"/>
    <tableColumn id="6" name="2月" totalsRowFunction="sum" dataDxfId="85"/>
    <tableColumn id="7" name="3月" totalsRowFunction="sum" dataDxfId="84"/>
    <tableColumn id="8" name="4月" totalsRowFunction="sum" dataDxfId="83"/>
    <tableColumn id="9" name="5月" totalsRowFunction="sum" dataDxfId="82"/>
    <tableColumn id="10" name="6月" totalsRowFunction="sum" dataDxfId="81"/>
    <tableColumn id="11" name="7月" totalsRowFunction="sum" dataDxfId="80"/>
    <tableColumn id="12" name="8月" totalsRowFunction="sum" dataDxfId="79"/>
    <tableColumn id="13" name="9月" totalsRowFunction="sum" dataDxfId="78"/>
    <tableColumn id="14" name="10月" totalsRowFunction="sum" dataDxfId="77"/>
    <tableColumn id="15" name="11月" totalsRowFunction="sum" dataDxfId="76"/>
    <tableColumn id="16" name="12月" totalsRowFunction="sum" dataDxfId="75"/>
  </tableColumns>
  <tableStyleInfo name="TableStyleMedium8" showFirstColumn="0" showLastColumn="0" showRowStripes="1" showColumnStripes="0"/>
</table>
</file>

<file path=xl/tables/table22.xml><?xml version="1.0" encoding="utf-8"?>
<table xmlns="http://schemas.openxmlformats.org/spreadsheetml/2006/main" id="22" name="其他资产" displayName="其他资产" ref="B21:O23" headerRowCount="1" totalsRowCount="1">
  <autoFilter ref="B21:O22"/>
  <tableColumns count="14">
    <tableColumn id="1" name="其他资产：" totalsRowLabel="其他资产总额" dataDxfId="74"/>
    <tableColumn id="2" name="上一年度" totalsRowFunction="sum" dataDxfId="73"/>
    <tableColumn id="3" name="1月" totalsRowFunction="sum" dataDxfId="72"/>
    <tableColumn id="4" name="2月" totalsRowFunction="sum" dataDxfId="71"/>
    <tableColumn id="5" name="3月" totalsRowFunction="sum" dataDxfId="70"/>
    <tableColumn id="6" name="4月" totalsRowFunction="sum" dataDxfId="69"/>
    <tableColumn id="7" name="5月" totalsRowFunction="sum" dataDxfId="68"/>
    <tableColumn id="8" name="6月" totalsRowFunction="sum" dataDxfId="67"/>
    <tableColumn id="9" name="7月" totalsRowFunction="sum" dataDxfId="66"/>
    <tableColumn id="10" name="8月" totalsRowFunction="sum" dataDxfId="65"/>
    <tableColumn id="11" name="9月" totalsRowFunction="sum" dataDxfId="64"/>
    <tableColumn id="12" name="10月" totalsRowFunction="sum" dataDxfId="63"/>
    <tableColumn id="13" name="11月" totalsRowFunction="sum" dataDxfId="62"/>
    <tableColumn id="14" name="12月" totalsRowFunction="sum" dataDxfId="61"/>
  </tableColumns>
  <tableStyleInfo name="TableStyleMedium8" showFirstColumn="0" showLastColumn="0" showRowStripes="1" showColumnStripes="0"/>
</table>
</file>

<file path=xl/tables/table23.xml><?xml version="1.0" encoding="utf-8"?>
<table xmlns="http://schemas.openxmlformats.org/spreadsheetml/2006/main" id="23" name="流动负债" displayName="流动负债" ref="B28:O35" headerRowCount="1" totalsRowCount="1">
  <autoFilter ref="B28:O34"/>
  <tableColumns count="14">
    <tableColumn id="1" name="流动负债：" totalsRowLabel="流动负债总额" dataDxfId="60"/>
    <tableColumn id="2" name="上一年度" totalsRowFunction="sum" dataDxfId="59"/>
    <tableColumn id="3" name="1月" totalsRowFunction="sum" dataDxfId="58"/>
    <tableColumn id="4" name="2月" totalsRowFunction="sum" dataDxfId="57"/>
    <tableColumn id="5" name="3月" totalsRowFunction="sum" dataDxfId="56"/>
    <tableColumn id="6" name="4月" totalsRowFunction="sum" dataDxfId="55"/>
    <tableColumn id="7" name="5月" totalsRowFunction="sum" dataDxfId="54"/>
    <tableColumn id="8" name="6月" totalsRowFunction="sum" dataDxfId="53"/>
    <tableColumn id="9" name="7月" totalsRowFunction="sum" dataDxfId="52"/>
    <tableColumn id="10" name="8月" totalsRowFunction="sum" dataDxfId="51"/>
    <tableColumn id="11" name="9月" totalsRowFunction="sum" dataDxfId="50"/>
    <tableColumn id="12" name="10月" totalsRowFunction="sum" dataDxfId="49"/>
    <tableColumn id="13" name="11月" totalsRowFunction="sum" dataDxfId="48"/>
    <tableColumn id="14" name="12月" totalsRowFunction="sum" dataDxfId="47"/>
  </tableColumns>
  <tableStyleInfo name="TableStyleMedium10" showFirstColumn="0" showLastColumn="0" showRowStripes="1" showColumnStripes="0"/>
</table>
</file>

<file path=xl/tables/table24.xml><?xml version="1.0" encoding="utf-8"?>
<table xmlns="http://schemas.openxmlformats.org/spreadsheetml/2006/main" id="24" name="长期负债" displayName="长期负债" ref="B37:O39" headerRowCount="1" totalsRowCount="1">
  <autoFilter ref="B37:O38"/>
  <tableColumns count="14">
    <tableColumn id="1" name="长期负债：" totalsRowLabel="长期负债总额" dataDxfId="46"/>
    <tableColumn id="2" name="上一年度" totalsRowFunction="sum" dataDxfId="45"/>
    <tableColumn id="3" name="1月" totalsRowFunction="sum" dataDxfId="44"/>
    <tableColumn id="4" name="2月" totalsRowFunction="sum" dataDxfId="43"/>
    <tableColumn id="5" name="3月" totalsRowFunction="sum" dataDxfId="42"/>
    <tableColumn id="6" name="4月" totalsRowFunction="sum" dataDxfId="41"/>
    <tableColumn id="7" name="5月" totalsRowFunction="sum" dataDxfId="40"/>
    <tableColumn id="8" name="6月" totalsRowFunction="sum" dataDxfId="39"/>
    <tableColumn id="9" name="7月" totalsRowFunction="sum" dataDxfId="38"/>
    <tableColumn id="10" name="8月" totalsRowFunction="sum" dataDxfId="37"/>
    <tableColumn id="11" name="9月" totalsRowFunction="sum" dataDxfId="36"/>
    <tableColumn id="12" name="10月" totalsRowFunction="sum" dataDxfId="35"/>
    <tableColumn id="13" name="11月" totalsRowFunction="sum" dataDxfId="34"/>
    <tableColumn id="14" name="12月" totalsRowFunction="sum" dataDxfId="33"/>
  </tableColumns>
  <tableStyleInfo name="TableStyleMedium10" showFirstColumn="0" showLastColumn="0" showRowStripes="1" showColumnStripes="0"/>
</table>
</file>

<file path=xl/tables/table25.xml><?xml version="1.0" encoding="utf-8"?>
<table xmlns="http://schemas.openxmlformats.org/spreadsheetml/2006/main" id="25" name="所有者权益" displayName="所有者权益" ref="B41:O44" headerRowCount="1" totalsRowCount="1">
  <autoFilter ref="B41:O43"/>
  <tableColumns count="14">
    <tableColumn id="1" name="所有者权益：" totalsRowLabel="所有者权益总额" dataDxfId="32"/>
    <tableColumn id="2" name="上一年度" totalsRowFunction="sum" dataDxfId="31"/>
    <tableColumn id="3" name="1月" totalsRowFunction="sum" dataDxfId="30"/>
    <tableColumn id="4" name="2月" totalsRowFunction="sum" dataDxfId="29"/>
    <tableColumn id="5" name="3月" totalsRowFunction="sum" dataDxfId="28"/>
    <tableColumn id="6" name="4月" totalsRowFunction="sum" dataDxfId="27"/>
    <tableColumn id="7" name="5月" totalsRowFunction="sum" dataDxfId="26"/>
    <tableColumn id="8" name="6月" totalsRowFunction="sum" dataDxfId="25"/>
    <tableColumn id="9" name="7月" totalsRowFunction="sum" dataDxfId="24"/>
    <tableColumn id="10" name="8月" totalsRowFunction="sum" dataDxfId="23"/>
    <tableColumn id="11" name="9月" totalsRowFunction="sum" dataDxfId="22"/>
    <tableColumn id="12" name="10月" totalsRowFunction="sum" dataDxfId="21"/>
    <tableColumn id="13" name="11月" totalsRowFunction="sum" dataDxfId="20"/>
    <tableColumn id="14" name="12月" totalsRowFunction="sum" dataDxfId="19"/>
  </tableColumns>
  <tableStyleInfo name="TableStyleMedium10" showFirstColumn="0" showLastColumn="0" showRowStripes="1" showColumnStripes="0"/>
</table>
</file>

<file path=xl/tables/table26.xml><?xml version="1.0" encoding="utf-8"?>
<table xmlns="http://schemas.openxmlformats.org/spreadsheetml/2006/main" id="26" name="流动资产" displayName="流动资产" ref="B5:O12" headerRowCount="1" totalsRowCount="1">
  <autoFilter ref="B5:O11"/>
  <tableColumns count="14">
    <tableColumn id="1" name="流动资产：" totalsRowLabel="流动资产总额" dataDxfId="18"/>
    <tableColumn id="2" name="上一年度" totalsRowFunction="sum" dataDxfId="17"/>
    <tableColumn id="3" name="1月" totalsRowFunction="sum" dataDxfId="16"/>
    <tableColumn id="4" name="2月" totalsRowFunction="sum" dataDxfId="15"/>
    <tableColumn id="5" name="3月" totalsRowFunction="sum" dataDxfId="14"/>
    <tableColumn id="6" name="4月" totalsRowFunction="sum" dataDxfId="13"/>
    <tableColumn id="7" name="5月" totalsRowFunction="sum" dataDxfId="12"/>
    <tableColumn id="8" name="6月" totalsRowFunction="sum" dataDxfId="11"/>
    <tableColumn id="9" name="7月" totalsRowFunction="sum" dataDxfId="10"/>
    <tableColumn id="10" name="8月" totalsRowFunction="sum" dataDxfId="9"/>
    <tableColumn id="11" name="9月" totalsRowFunction="sum" dataDxfId="8"/>
    <tableColumn id="12" name="10月" totalsRowFunction="sum" dataDxfId="7"/>
    <tableColumn id="13" name="11月" totalsRowFunction="sum" dataDxfId="6"/>
    <tableColumn id="14" name="12月" totalsRowFunction="sum" dataDxfId="5"/>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31">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 Type="http://schemas.openxmlformats.org/officeDocument/2006/relationships/table" Target="/xl/tables/table8.xml" Id="rId3"/><Relationship Type="http://schemas.openxmlformats.org/officeDocument/2006/relationships/table" Target="/xl/tables/table9.xml" Id="rId4"/><Relationship Type="http://schemas.openxmlformats.org/officeDocument/2006/relationships/table" Target="/xl/tables/table10.xml" Id="rId5"/><Relationship Type="http://schemas.openxmlformats.org/officeDocument/2006/relationships/table" Target="/xl/tables/table11.xml" Id="rId6"/><Relationship Type="http://schemas.openxmlformats.org/officeDocument/2006/relationships/table" Target="/xl/tables/table12.xml" Id="rId7"/><Relationship Type="http://schemas.openxmlformats.org/officeDocument/2006/relationships/table" Target="/xl/tables/table13.xml" Id="rId8"/><Relationship Type="http://schemas.openxmlformats.org/officeDocument/2006/relationships/table" Target="/xl/tables/table14.xml" Id="rId9"/><Relationship Type="http://schemas.openxmlformats.org/officeDocument/2006/relationships/table" Target="/xl/tables/table15.xml" Id="rId10"/><Relationship Type="http://schemas.openxmlformats.org/officeDocument/2006/relationships/table" Target="/xl/tables/table16.xml" Id="rId11"/><Relationship Type="http://schemas.openxmlformats.org/officeDocument/2006/relationships/table" Target="/xl/tables/table17.xml" Id="rId12"/></Relationships>
</file>

<file path=xl/worksheets/_rels/sheet5.xml.rels><Relationships xmlns="http://schemas.openxmlformats.org/package/2006/relationships"><Relationship Type="http://schemas.openxmlformats.org/officeDocument/2006/relationships/table" Target="/xl/tables/table18.xml" Id="rId1"/></Relationships>
</file>

<file path=xl/worksheets/_rels/sheet6.xml.rels><Relationships xmlns="http://schemas.openxmlformats.org/package/2006/relationships"><Relationship Type="http://schemas.openxmlformats.org/officeDocument/2006/relationships/table" Target="/xl/tables/table19.xml" Id="rId1"/></Relationships>
</file>

<file path=xl/worksheets/_rels/sheet7.xml.rels><Relationships xmlns="http://schemas.openxmlformats.org/package/2006/relationships"><Relationship Type="http://schemas.openxmlformats.org/officeDocument/2006/relationships/table" Target="/xl/tables/table20.xml" Id="rId1"/></Relationships>
</file>

<file path=xl/worksheets/_rels/sheet9.xml.rels><Relationships xmlns="http://schemas.openxmlformats.org/package/2006/relationships"><Relationship Type="http://schemas.openxmlformats.org/officeDocument/2006/relationships/table" Target="/xl/tables/table21.xml" Id="rId1"/><Relationship Type="http://schemas.openxmlformats.org/officeDocument/2006/relationships/table" Target="/xl/tables/table22.xml" Id="rId2"/><Relationship Type="http://schemas.openxmlformats.org/officeDocument/2006/relationships/table" Target="/xl/tables/table23.xml" Id="rId3"/><Relationship Type="http://schemas.openxmlformats.org/officeDocument/2006/relationships/table" Target="/xl/tables/table24.xml" Id="rId4"/><Relationship Type="http://schemas.openxmlformats.org/officeDocument/2006/relationships/table" Target="/xl/tables/table25.xml" Id="rId5"/><Relationship Type="http://schemas.openxmlformats.org/officeDocument/2006/relationships/table" Target="/xl/tables/table26.xml" Id="rId6"/></Relationships>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3">
    <tabColor theme="4" tint="-0.249977111117893"/>
    <outlinePr summaryBelow="1" summaryRight="1"/>
    <pageSetUpPr/>
  </sheetPr>
  <dimension ref="A1:T172"/>
  <sheetViews>
    <sheetView showGridLines="0" tabSelected="1" zoomScale="117" workbookViewId="0">
      <selection activeCell="D14" sqref="D14"/>
    </sheetView>
  </sheetViews>
  <sheetFormatPr baseColWidth="10" defaultColWidth="9" defaultRowHeight="26" customHeight="1"/>
  <cols>
    <col width="5.5" customWidth="1" style="299" min="1" max="1"/>
    <col width="14.6640625" customWidth="1" style="388" min="2" max="2"/>
    <col width="22.1640625" customWidth="1" style="299" min="3" max="3"/>
    <col width="18.1640625" customWidth="1" style="299" min="4" max="4"/>
    <col width="13.6640625" customWidth="1" style="389" min="5" max="5"/>
    <col width="19" customWidth="1" style="299" min="6" max="7"/>
    <col width="13.6640625" customWidth="1" style="390" min="8" max="8"/>
    <col width="16.33203125" customWidth="1" style="299" min="9" max="9"/>
    <col width="0.6640625" customWidth="1" style="303" min="10" max="10"/>
    <col width="12.5" customWidth="1" style="303" min="11" max="11"/>
    <col width="12.6640625" customWidth="1" style="303" min="12" max="12"/>
    <col width="9" customWidth="1" style="303" min="13" max="16384"/>
  </cols>
  <sheetData>
    <row r="1" ht="38" customHeight="1">
      <c r="A1" s="344" t="inlineStr">
        <is>
          <t>收支财务报表</t>
        </is>
      </c>
    </row>
    <row r="2" ht="4" customHeight="1">
      <c r="A2" s="303" t="n"/>
      <c r="B2" s="391" t="n"/>
      <c r="C2" s="303" t="n"/>
      <c r="D2" s="303" t="n"/>
      <c r="E2" s="392" t="n"/>
      <c r="F2" s="303" t="n"/>
      <c r="G2" s="303" t="n"/>
      <c r="H2" s="392" t="n"/>
      <c r="I2" s="303" t="n"/>
    </row>
    <row r="3" ht="18" customHeight="1">
      <c r="A3" s="326" t="inlineStr">
        <is>
          <t>序号</t>
        </is>
      </c>
      <c r="B3" s="393" t="inlineStr">
        <is>
          <t>日期</t>
        </is>
      </c>
      <c r="C3" s="326" t="inlineStr">
        <is>
          <t>收入</t>
        </is>
      </c>
      <c r="D3" s="394" t="n"/>
      <c r="E3" s="395" t="n"/>
      <c r="F3" s="326" t="inlineStr">
        <is>
          <t>支出</t>
        </is>
      </c>
      <c r="G3" s="394" t="n"/>
      <c r="H3" s="395" t="n"/>
      <c r="I3" s="326" t="inlineStr">
        <is>
          <t>备注</t>
        </is>
      </c>
      <c r="K3" s="396">
        <f>YEAR(TODAY())</f>
        <v/>
      </c>
      <c r="L3" s="397" t="n"/>
    </row>
    <row r="4" ht="18" customHeight="1">
      <c r="A4" s="398" t="n"/>
      <c r="B4" s="398" t="n"/>
      <c r="C4" s="326" t="inlineStr">
        <is>
          <t>摘要</t>
        </is>
      </c>
      <c r="D4" s="322" t="inlineStr">
        <is>
          <t>类型</t>
        </is>
      </c>
      <c r="E4" s="399" t="inlineStr">
        <is>
          <t>金额</t>
        </is>
      </c>
      <c r="F4" s="326" t="inlineStr">
        <is>
          <t>摘要</t>
        </is>
      </c>
      <c r="G4" s="322" t="inlineStr">
        <is>
          <t>类型</t>
        </is>
      </c>
      <c r="H4" s="399" t="inlineStr">
        <is>
          <t>金额</t>
        </is>
      </c>
      <c r="I4" s="398" t="n"/>
      <c r="K4" s="400" t="n"/>
      <c r="L4" s="401" t="n"/>
    </row>
    <row r="5" ht="26" customHeight="1">
      <c r="A5" s="308" t="n">
        <v>1</v>
      </c>
      <c r="B5" s="402" t="n">
        <v>46138</v>
      </c>
      <c r="C5" s="319" t="inlineStr">
        <is>
          <t>吴文凯投入</t>
        </is>
      </c>
      <c r="D5" s="319" t="inlineStr">
        <is>
          <t>贷款/其他现金投入</t>
        </is>
      </c>
      <c r="E5" s="403" t="n">
        <v>30000</v>
      </c>
      <c r="F5" s="320" t="inlineStr">
        <is>
          <t>米白铝箔底真防潮贴纸60cmx12m</t>
        </is>
      </c>
      <c r="G5" s="320" t="inlineStr">
        <is>
          <t>装修</t>
        </is>
      </c>
      <c r="H5" s="404" t="n">
        <v>48.28</v>
      </c>
      <c r="I5" s="308" t="inlineStr">
        <is>
          <t>https://mobile.yangkeduo.com/goods2.html?ps=pSymVeNXNe</t>
        </is>
      </c>
      <c r="K5" s="405" t="n">
        <v>4</v>
      </c>
      <c r="L5" s="401" t="n"/>
    </row>
    <row r="6" ht="26" customHeight="1">
      <c r="A6" s="308" t="n">
        <v>2</v>
      </c>
      <c r="B6" s="406" t="n">
        <v>46138</v>
      </c>
      <c r="C6" s="308" t="n"/>
      <c r="D6" s="308" t="n"/>
      <c r="E6" s="403" t="n"/>
      <c r="F6" s="320" t="inlineStr">
        <is>
          <t>浅蓝铝箔底真防潮贴纸60cmx12m</t>
        </is>
      </c>
      <c r="G6" s="320" t="inlineStr">
        <is>
          <t>装修</t>
        </is>
      </c>
      <c r="H6" s="404" t="n">
        <v>48.27</v>
      </c>
      <c r="I6" s="308" t="inlineStr">
        <is>
          <t>https://mobile.yangkeduo.com/goods2.html?ps=JwqxaYnoXC</t>
        </is>
      </c>
      <c r="K6" s="407" t="inlineStr">
        <is>
          <t>收入金额</t>
        </is>
      </c>
      <c r="L6" s="401" t="n"/>
    </row>
    <row r="7" ht="26" customHeight="1">
      <c r="A7" s="308" t="n">
        <v>3</v>
      </c>
      <c r="B7" s="406" t="n">
        <v>46138</v>
      </c>
      <c r="C7" s="308" t="n"/>
      <c r="D7" s="308" t="n"/>
      <c r="E7" s="403" t="n"/>
      <c r="F7" s="320" t="inlineStr">
        <is>
          <t>顶天立地衣架
加高3.6m\加粗38管径5立8横</t>
        </is>
      </c>
      <c r="G7" s="320" t="inlineStr">
        <is>
          <t>装修</t>
        </is>
      </c>
      <c r="H7" s="404" t="n">
        <v>380.12</v>
      </c>
      <c r="I7" s="308" t="inlineStr">
        <is>
          <t>https://mobile.yangkeduo.com/goods.html?ps=50D9qeUJ2m</t>
        </is>
      </c>
      <c r="K7" s="408">
        <f t="array" ref="K7">SUMPRODUCT(($E$5:$E$17200)*(YEAR($B$5:$B$17200)=$K$3)*(MONTH($B$5:$B$17200)=$K$5))</f>
        <v/>
      </c>
      <c r="L7" s="401" t="n"/>
    </row>
    <row r="8" ht="26" customHeight="1">
      <c r="A8" s="308" t="n">
        <v>4</v>
      </c>
      <c r="B8" s="406" t="n">
        <v>46138</v>
      </c>
      <c r="C8" s="308" t="n"/>
      <c r="D8" s="308" t="n"/>
      <c r="E8" s="403" t="n"/>
      <c r="F8" s="320" t="inlineStr">
        <is>
          <t>小熊板毛毡墙
120*180</t>
        </is>
      </c>
      <c r="G8" s="320" t="inlineStr">
        <is>
          <t>装修</t>
        </is>
      </c>
      <c r="H8" s="404" t="n">
        <v>58.1</v>
      </c>
      <c r="I8" s="308" t="inlineStr">
        <is>
          <t>https://mobile.yangkeduo.com/goods.html?ps=50D9qeUJ2m</t>
        </is>
      </c>
      <c r="K8" s="407" t="inlineStr">
        <is>
          <t>支出金额</t>
        </is>
      </c>
      <c r="L8" s="401" t="n"/>
    </row>
    <row r="9" ht="26" customHeight="1">
      <c r="A9" s="308" t="n">
        <v>5</v>
      </c>
      <c r="B9" s="406" t="n">
        <v>46138</v>
      </c>
      <c r="C9" s="308" t="n"/>
      <c r="D9" s="308" t="n"/>
      <c r="E9" s="403" t="n"/>
      <c r="F9" s="320" t="inlineStr">
        <is>
          <t>免打孔安装窗帘杆
   白色2.68-3.18m</t>
        </is>
      </c>
      <c r="G9" s="320" t="inlineStr">
        <is>
          <t>装修</t>
        </is>
      </c>
      <c r="H9" s="404" t="n">
        <v>35.66</v>
      </c>
      <c r="I9" s="308" t="inlineStr">
        <is>
          <t>https://mobile.yangkeduo.com/goods.html?ps=CnJSzRfray</t>
        </is>
      </c>
      <c r="K9" s="409">
        <f>SUMPRODUCT(($H$5:$H$17200)*(YEAR($B$5:$B$17200)=$K$3)*(MONTH($B$5:$B$17200)=$K$5))</f>
        <v/>
      </c>
      <c r="L9" s="401" t="n"/>
    </row>
    <row r="10" ht="26" customHeight="1">
      <c r="A10" s="308" t="n">
        <v>6</v>
      </c>
      <c r="B10" s="406" t="n">
        <v>46138</v>
      </c>
      <c r="C10" s="308" t="n"/>
      <c r="D10" s="308" t="n"/>
      <c r="E10" s="403" t="n"/>
      <c r="F10" s="320" t="inlineStr">
        <is>
          <t>免打孔安装窗帘杆
   白色3.18-3.68m</t>
        </is>
      </c>
      <c r="G10" s="320" t="inlineStr">
        <is>
          <t>装修</t>
        </is>
      </c>
      <c r="H10" s="404" t="n">
        <v>38.93</v>
      </c>
      <c r="I10" s="308" t="inlineStr">
        <is>
          <t>https://mobile.yangkeduo.com/goods.html?ps=CnJSzRfray</t>
        </is>
      </c>
      <c r="K10" s="407" t="inlineStr">
        <is>
          <t>结余金额</t>
        </is>
      </c>
      <c r="L10" s="401" t="n"/>
    </row>
    <row r="11" ht="26" customHeight="1">
      <c r="A11" s="308" t="n">
        <v>7</v>
      </c>
      <c r="B11" s="410" t="n">
        <v>46139</v>
      </c>
      <c r="C11" s="319" t="inlineStr">
        <is>
          <t>pq化妆私教课</t>
        </is>
      </c>
      <c r="D11" s="319" t="inlineStr">
        <is>
          <t>化妆课</t>
        </is>
      </c>
      <c r="E11" s="403" t="n">
        <v>680</v>
      </c>
      <c r="F11" s="319" t="inlineStr">
        <is>
          <t>萱萱抽成</t>
        </is>
      </c>
      <c r="G11" s="319" t="inlineStr">
        <is>
          <t>酬劳</t>
        </is>
      </c>
      <c r="H11" s="404" t="n">
        <v>600</v>
      </c>
      <c r="I11" s="319" t="inlineStr">
        <is>
          <t>工作室成立之前客户</t>
        </is>
      </c>
      <c r="K11" s="411">
        <f>K7-K9</f>
        <v/>
      </c>
      <c r="L11" s="401" t="n"/>
    </row>
    <row r="12" ht="26" customHeight="1">
      <c r="A12" s="308" t="n">
        <v>8</v>
      </c>
      <c r="B12" s="406" t="n">
        <v>46144</v>
      </c>
      <c r="E12" s="403" t="n"/>
      <c r="F12" s="308" t="inlineStr">
        <is>
          <t>收购工作室服装、道具</t>
        </is>
      </c>
      <c r="G12" s="308" t="inlineStr">
        <is>
          <t>采购</t>
        </is>
      </c>
      <c r="H12" s="404" t="n">
        <v>10000</v>
      </c>
      <c r="I12" s="308" t="inlineStr">
        <is>
          <t>萱萱处收购</t>
        </is>
      </c>
      <c r="K12" s="412" t="inlineStr">
        <is>
          <t>按起止日期查询&gt;&gt;</t>
        </is>
      </c>
      <c r="L12" s="401" t="n"/>
      <c r="O12" s="185" t="n"/>
      <c r="P12" s="185" t="n"/>
      <c r="Q12" s="185" t="n"/>
      <c r="R12" s="185" t="n"/>
      <c r="S12" s="185" t="n"/>
      <c r="T12" s="185" t="n"/>
    </row>
    <row r="13" ht="26" customHeight="1">
      <c r="A13" s="319" t="n">
        <v>9</v>
      </c>
      <c r="B13" s="406" t="n">
        <v>46159</v>
      </c>
      <c r="E13" s="403" t="n"/>
      <c r="F13" s="319" t="inlineStr">
        <is>
          <t>神牛 LR500 化妆室灯棒</t>
        </is>
      </c>
      <c r="G13" s="319" t="inlineStr">
        <is>
          <t>采购</t>
        </is>
      </c>
      <c r="H13" s="404" t="n">
        <v>860</v>
      </c>
      <c r="I13" s="319" t="inlineStr">
        <is>
          <t>购买化妆室灯棒 Godox LR500；来源：账单截图/IMG_7823.PNG</t>
        </is>
      </c>
      <c r="K13" s="412" t="inlineStr">
        <is>
          <t>开始日期</t>
        </is>
      </c>
      <c r="L13" s="401" t="n"/>
      <c r="O13" s="185" t="n"/>
      <c r="P13" s="185" t="n"/>
      <c r="Q13" s="185" t="n"/>
      <c r="R13" s="185" t="n"/>
      <c r="S13" s="185" t="n"/>
      <c r="T13" s="185" t="n"/>
    </row>
    <row r="14" ht="26" customHeight="1">
      <c r="A14" s="319" t="n">
        <v>10</v>
      </c>
      <c r="B14" s="406" t="n">
        <v>46160</v>
      </c>
      <c r="E14" s="403" t="n"/>
      <c r="F14" s="319" t="inlineStr">
        <is>
          <t>工作室化妆品</t>
        </is>
      </c>
      <c r="G14" s="319" t="inlineStr">
        <is>
          <t>采购</t>
        </is>
      </c>
      <c r="H14" s="404" t="n">
        <v>696</v>
      </c>
      <c r="I14" s="319" t="inlineStr">
        <is>
          <t>聊天截图注明“工作室化妆品”；来源：账单截图/IMG_7824.PNG</t>
        </is>
      </c>
      <c r="K14" s="412" t="n">
        <v>43831</v>
      </c>
      <c r="L14" s="401" t="n"/>
      <c r="O14" s="185" t="n"/>
      <c r="P14" s="185" t="n"/>
      <c r="Q14" s="185" t="n"/>
      <c r="R14" s="185" t="n"/>
      <c r="S14" s="185" t="n"/>
      <c r="T14" s="185" t="n"/>
    </row>
    <row r="15" ht="26" customHeight="1">
      <c r="A15" s="308" t="n">
        <v>11</v>
      </c>
      <c r="B15" s="410" t="n"/>
      <c r="C15" s="308" t="n"/>
      <c r="D15" s="308" t="n"/>
      <c r="E15" s="403" t="n"/>
      <c r="F15" s="308" t="n"/>
      <c r="G15" s="308" t="n"/>
      <c r="H15" s="404" t="n"/>
      <c r="I15" s="308" t="n"/>
      <c r="K15" s="413" t="inlineStr">
        <is>
          <t>结束日期</t>
        </is>
      </c>
      <c r="L15" s="401" t="n"/>
      <c r="O15" s="185" t="n"/>
      <c r="P15" s="185" t="n"/>
      <c r="Q15" s="185" t="n"/>
      <c r="R15" s="185" t="n"/>
      <c r="S15" s="185" t="n"/>
      <c r="T15" s="185" t="n"/>
    </row>
    <row r="16" ht="26" customHeight="1">
      <c r="A16" s="308" t="n"/>
      <c r="B16" s="410" t="n"/>
      <c r="C16" s="308" t="n"/>
      <c r="D16" s="308" t="n"/>
      <c r="E16" s="403" t="n"/>
      <c r="F16" s="308" t="n"/>
      <c r="G16" s="308" t="n"/>
      <c r="H16" s="404" t="n"/>
      <c r="I16" s="308" t="n"/>
      <c r="K16" s="414">
        <f>TODAY()</f>
        <v/>
      </c>
      <c r="L16" s="415" t="n"/>
      <c r="O16" s="185" t="n"/>
      <c r="P16" s="185" t="n"/>
      <c r="Q16" s="185" t="n"/>
      <c r="R16" s="185" t="n"/>
      <c r="S16" s="185" t="n"/>
      <c r="T16" s="185" t="n"/>
    </row>
    <row r="17" ht="26" customHeight="1">
      <c r="A17" s="308" t="n"/>
      <c r="B17" s="410" t="n"/>
      <c r="C17" s="308" t="n"/>
      <c r="D17" s="308" t="n"/>
      <c r="E17" s="403" t="n"/>
      <c r="F17" s="308" t="n"/>
      <c r="G17" s="308" t="n"/>
      <c r="H17" s="404" t="n"/>
      <c r="I17" s="308" t="n"/>
      <c r="K17" s="407" t="inlineStr">
        <is>
          <t>收入金额</t>
        </is>
      </c>
      <c r="L17" s="401" t="n"/>
      <c r="O17" s="185" t="n"/>
      <c r="P17" s="185" t="n"/>
      <c r="Q17" s="185" t="n"/>
      <c r="R17" s="185" t="n"/>
      <c r="S17" s="185" t="n"/>
      <c r="T17" s="185" t="n"/>
    </row>
    <row r="18" ht="26" customHeight="1">
      <c r="A18" s="308" t="n"/>
      <c r="B18" s="410" t="n"/>
      <c r="C18" s="308" t="n"/>
      <c r="D18" s="308" t="n"/>
      <c r="E18" s="403" t="n"/>
      <c r="F18" s="308" t="n"/>
      <c r="G18" s="308" t="n"/>
      <c r="H18" s="404" t="n"/>
      <c r="I18" s="308" t="n"/>
      <c r="K18" s="408">
        <f t="array" ref="K18">SUMPRODUCT(($E$5:$E$17200)*(($B$5:$B$17200)&gt;=$K$14)*(($B$5:$B$17200)&lt;=$K$16))</f>
        <v/>
      </c>
      <c r="L18" s="401" t="n"/>
    </row>
    <row r="19" ht="26" customHeight="1">
      <c r="A19" s="308" t="n"/>
      <c r="B19" s="410" t="n"/>
      <c r="C19" s="308" t="n"/>
      <c r="D19" s="308" t="n"/>
      <c r="E19" s="403" t="n"/>
      <c r="F19" s="308" t="n"/>
      <c r="G19" s="308" t="n"/>
      <c r="H19" s="404" t="n"/>
      <c r="I19" s="308" t="n"/>
      <c r="K19" s="407" t="inlineStr">
        <is>
          <t>支出金额</t>
        </is>
      </c>
      <c r="L19" s="401" t="n"/>
    </row>
    <row r="20" ht="26" customHeight="1">
      <c r="A20" s="308" t="n"/>
      <c r="B20" s="410" t="n"/>
      <c r="C20" s="308" t="n"/>
      <c r="D20" s="308" t="n"/>
      <c r="E20" s="403" t="n"/>
      <c r="F20" s="308" t="n"/>
      <c r="G20" s="308" t="n"/>
      <c r="H20" s="404" t="n"/>
      <c r="I20" s="308" t="n"/>
      <c r="K20" s="409">
        <f>SUMPRODUCT(($H$5:$H$17200)*(($B$5:$B$17200)&gt;=$K$14)*(($B$5:$B$17200)&lt;=$K$16))</f>
        <v/>
      </c>
      <c r="L20" s="401" t="n"/>
    </row>
    <row r="21" ht="26" customHeight="1">
      <c r="A21" s="308" t="n"/>
      <c r="B21" s="410" t="n"/>
      <c r="C21" s="308" t="n"/>
      <c r="D21" s="308" t="n"/>
      <c r="E21" s="403" t="n"/>
      <c r="F21" s="308" t="n"/>
      <c r="G21" s="308" t="n"/>
      <c r="H21" s="404" t="n"/>
      <c r="I21" s="308" t="n"/>
      <c r="K21" s="407" t="inlineStr">
        <is>
          <t>结余金额</t>
        </is>
      </c>
      <c r="L21" s="401" t="n"/>
    </row>
    <row r="22" ht="26" customHeight="1">
      <c r="A22" s="308" t="n"/>
      <c r="B22" s="410" t="n"/>
      <c r="C22" s="308" t="n"/>
      <c r="D22" s="308" t="n"/>
      <c r="E22" s="403" t="n"/>
      <c r="F22" s="308" t="n"/>
      <c r="G22" s="308" t="n"/>
      <c r="H22" s="404" t="n"/>
      <c r="I22" s="308" t="n"/>
      <c r="K22" s="411">
        <f>K18-K20</f>
        <v/>
      </c>
      <c r="L22" s="401" t="n"/>
    </row>
    <row r="23" ht="26" customHeight="1">
      <c r="A23" s="308" t="n"/>
      <c r="B23" s="410" t="n"/>
      <c r="C23" s="308" t="n"/>
      <c r="D23" s="308" t="n"/>
      <c r="E23" s="403" t="n"/>
      <c r="F23" s="308" t="n"/>
      <c r="G23" s="308" t="n"/>
      <c r="H23" s="404" t="n"/>
      <c r="I23" s="308" t="n"/>
      <c r="K23" s="312" t="n"/>
      <c r="L23" s="313" t="n"/>
    </row>
    <row r="24" ht="26" customHeight="1">
      <c r="A24" s="308" t="n"/>
      <c r="B24" s="410" t="n"/>
      <c r="C24" s="308" t="n"/>
      <c r="D24" s="308" t="n"/>
      <c r="E24" s="403" t="n"/>
      <c r="F24" s="308" t="n"/>
      <c r="G24" s="308" t="n"/>
      <c r="H24" s="404" t="n"/>
      <c r="I24" s="308" t="n"/>
      <c r="K24" s="312" t="n"/>
      <c r="L24" s="313" t="n"/>
    </row>
    <row r="25" ht="26" customHeight="1">
      <c r="A25" s="308" t="n"/>
      <c r="B25" s="410" t="n"/>
      <c r="C25" s="308" t="n"/>
      <c r="D25" s="308" t="n"/>
      <c r="E25" s="403" t="n"/>
      <c r="F25" s="308" t="n"/>
      <c r="G25" s="308" t="n"/>
      <c r="H25" s="404" t="n"/>
      <c r="I25" s="308" t="n"/>
      <c r="K25" s="312" t="n"/>
      <c r="L25" s="313" t="n"/>
    </row>
    <row r="26" ht="26" customHeight="1">
      <c r="A26" s="308" t="n"/>
      <c r="B26" s="410" t="n"/>
      <c r="C26" s="308" t="n"/>
      <c r="D26" s="308" t="n"/>
      <c r="E26" s="403" t="n"/>
      <c r="F26" s="308" t="n"/>
      <c r="G26" s="308" t="n"/>
      <c r="H26" s="404" t="n"/>
      <c r="I26" s="308" t="n"/>
      <c r="K26" s="314" t="n"/>
      <c r="L26" s="315" t="n"/>
    </row>
    <row r="27" ht="26" customHeight="1">
      <c r="A27" s="308" t="n"/>
      <c r="B27" s="410" t="n"/>
      <c r="C27" s="308" t="n"/>
      <c r="D27" s="308" t="n"/>
      <c r="E27" s="403" t="n"/>
      <c r="F27" s="308" t="n"/>
      <c r="G27" s="308" t="n"/>
      <c r="H27" s="404" t="n"/>
      <c r="I27" s="308" t="n"/>
      <c r="K27" s="316" t="n"/>
      <c r="L27" s="316" t="n"/>
    </row>
    <row r="28" ht="26" customHeight="1">
      <c r="A28" s="308" t="n"/>
      <c r="B28" s="410" t="n"/>
      <c r="C28" s="308" t="n"/>
      <c r="D28" s="308" t="n"/>
      <c r="E28" s="403" t="n"/>
      <c r="F28" s="308" t="n"/>
      <c r="G28" s="308" t="n"/>
      <c r="H28" s="404" t="n"/>
      <c r="I28" s="308" t="n"/>
      <c r="K28" s="316" t="n"/>
      <c r="L28" s="316" t="n"/>
    </row>
    <row r="29" ht="26" customHeight="1">
      <c r="A29" s="308" t="n"/>
      <c r="B29" s="410" t="n"/>
      <c r="C29" s="308" t="n"/>
      <c r="D29" s="308" t="n"/>
      <c r="E29" s="403" t="n"/>
      <c r="F29" s="308" t="n"/>
      <c r="G29" s="308" t="n"/>
      <c r="H29" s="404" t="n"/>
      <c r="I29" s="308" t="n"/>
      <c r="K29" s="316" t="n"/>
      <c r="L29" s="316" t="n"/>
    </row>
    <row r="30" ht="26" customHeight="1">
      <c r="A30" s="308" t="n"/>
      <c r="B30" s="410" t="n"/>
      <c r="C30" s="308" t="n"/>
      <c r="D30" s="308" t="n"/>
      <c r="E30" s="403" t="n"/>
      <c r="F30" s="308" t="n"/>
      <c r="G30" s="308" t="n"/>
      <c r="H30" s="404" t="n"/>
      <c r="I30" s="308" t="n"/>
      <c r="K30" s="316" t="n"/>
      <c r="L30" s="316" t="n"/>
    </row>
    <row r="31" ht="26" customHeight="1">
      <c r="A31" s="308" t="n"/>
      <c r="B31" s="410" t="n"/>
      <c r="C31" s="308" t="n"/>
      <c r="D31" s="308" t="n"/>
      <c r="E31" s="403" t="n"/>
      <c r="F31" s="308" t="n"/>
      <c r="G31" s="308" t="n"/>
      <c r="H31" s="404" t="n"/>
      <c r="I31" s="308" t="n"/>
      <c r="K31" s="316" t="n"/>
      <c r="L31" s="316" t="n"/>
    </row>
    <row r="32" ht="26" customHeight="1">
      <c r="A32" s="308" t="n"/>
      <c r="B32" s="410" t="n"/>
      <c r="C32" s="308" t="n"/>
      <c r="D32" s="308" t="n"/>
      <c r="E32" s="403" t="n"/>
      <c r="F32" s="308" t="n"/>
      <c r="G32" s="308" t="n"/>
      <c r="H32" s="404" t="n"/>
      <c r="I32" s="308" t="n"/>
      <c r="K32" s="316" t="n"/>
      <c r="L32" s="316" t="n"/>
    </row>
    <row r="33" ht="26" customHeight="1">
      <c r="A33" s="308" t="n"/>
      <c r="B33" s="410" t="n"/>
      <c r="C33" s="308" t="n"/>
      <c r="D33" s="308" t="n"/>
      <c r="E33" s="403" t="n"/>
      <c r="F33" s="308" t="n"/>
      <c r="G33" s="308" t="n"/>
      <c r="H33" s="404" t="n"/>
      <c r="I33" s="308" t="n"/>
      <c r="K33" s="316" t="n"/>
      <c r="L33" s="316" t="n"/>
    </row>
    <row r="34" ht="26" customHeight="1">
      <c r="A34" s="308" t="n"/>
      <c r="B34" s="410" t="n"/>
      <c r="C34" s="308" t="n"/>
      <c r="D34" s="308" t="n"/>
      <c r="E34" s="403" t="n"/>
      <c r="F34" s="308" t="n"/>
      <c r="G34" s="308" t="n"/>
      <c r="H34" s="404" t="n"/>
      <c r="I34" s="308" t="n"/>
      <c r="K34" s="316" t="n"/>
      <c r="L34" s="316" t="n"/>
    </row>
    <row r="35" ht="26" customHeight="1">
      <c r="A35" s="308" t="n"/>
      <c r="B35" s="410" t="n"/>
      <c r="C35" s="308" t="n"/>
      <c r="D35" s="308" t="n"/>
      <c r="E35" s="403" t="n"/>
      <c r="F35" s="308" t="n"/>
      <c r="G35" s="308" t="n"/>
      <c r="H35" s="404" t="n"/>
      <c r="I35" s="308" t="n"/>
      <c r="K35" s="316" t="n"/>
      <c r="L35" s="316" t="n"/>
    </row>
    <row r="36" ht="26" customHeight="1">
      <c r="A36" s="308" t="n"/>
      <c r="B36" s="410" t="n"/>
      <c r="C36" s="308" t="n"/>
      <c r="D36" s="308" t="n"/>
      <c r="E36" s="403" t="n"/>
      <c r="F36" s="308" t="n"/>
      <c r="G36" s="308" t="n"/>
      <c r="H36" s="404" t="n"/>
      <c r="I36" s="308" t="n"/>
      <c r="K36" s="316" t="n"/>
      <c r="L36" s="316" t="n"/>
    </row>
    <row r="37" ht="26" customHeight="1">
      <c r="A37" s="308" t="n"/>
      <c r="B37" s="410" t="n"/>
      <c r="C37" s="308" t="n"/>
      <c r="D37" s="308" t="n"/>
      <c r="E37" s="403" t="n"/>
      <c r="F37" s="308" t="n"/>
      <c r="G37" s="308" t="n"/>
      <c r="H37" s="404" t="n"/>
      <c r="I37" s="308" t="n"/>
      <c r="K37" s="316" t="n"/>
      <c r="L37" s="316" t="n"/>
    </row>
    <row r="38" ht="26" customHeight="1">
      <c r="A38" s="308" t="n"/>
      <c r="B38" s="410" t="n"/>
      <c r="C38" s="308" t="n"/>
      <c r="D38" s="308" t="n"/>
      <c r="E38" s="403" t="n"/>
      <c r="F38" s="308" t="n"/>
      <c r="G38" s="308" t="n"/>
      <c r="H38" s="404" t="n"/>
      <c r="I38" s="308" t="n"/>
      <c r="K38" s="316" t="n"/>
      <c r="L38" s="316" t="n"/>
    </row>
    <row r="39" ht="26" customHeight="1">
      <c r="A39" s="308" t="n"/>
      <c r="B39" s="410" t="n"/>
      <c r="C39" s="308" t="n"/>
      <c r="D39" s="308" t="n"/>
      <c r="E39" s="403" t="n"/>
      <c r="F39" s="308" t="n"/>
      <c r="G39" s="308" t="n"/>
      <c r="H39" s="404" t="n"/>
      <c r="I39" s="308" t="n"/>
      <c r="K39" s="316" t="n"/>
      <c r="L39" s="316" t="n"/>
    </row>
    <row r="40" ht="26" customHeight="1">
      <c r="A40" s="308" t="n"/>
      <c r="B40" s="410" t="n"/>
      <c r="C40" s="308" t="n"/>
      <c r="D40" s="308" t="n"/>
      <c r="E40" s="403" t="n"/>
      <c r="F40" s="308" t="n"/>
      <c r="G40" s="308" t="n"/>
      <c r="H40" s="404" t="n"/>
      <c r="I40" s="308" t="n"/>
      <c r="K40" s="316" t="n"/>
      <c r="L40" s="316" t="n"/>
    </row>
    <row r="41" ht="26" customHeight="1">
      <c r="A41" s="308" t="n"/>
      <c r="B41" s="410" t="n"/>
      <c r="C41" s="308" t="n"/>
      <c r="D41" s="308" t="n"/>
      <c r="E41" s="403" t="n"/>
      <c r="F41" s="308" t="n"/>
      <c r="G41" s="308" t="n"/>
      <c r="H41" s="404" t="n"/>
      <c r="I41" s="308" t="n"/>
      <c r="K41" s="316" t="n"/>
      <c r="L41" s="316" t="n"/>
    </row>
    <row r="42" ht="26" customHeight="1">
      <c r="A42" s="308" t="n"/>
      <c r="B42" s="410" t="n"/>
      <c r="C42" s="308" t="n"/>
      <c r="D42" s="308" t="n"/>
      <c r="E42" s="403" t="n"/>
      <c r="F42" s="308" t="n"/>
      <c r="G42" s="308" t="n"/>
      <c r="H42" s="404" t="n"/>
      <c r="I42" s="308" t="n"/>
      <c r="K42" s="316" t="n"/>
      <c r="L42" s="316" t="n"/>
    </row>
    <row r="43" ht="26" customHeight="1">
      <c r="A43" s="308" t="n"/>
      <c r="B43" s="410" t="n"/>
      <c r="C43" s="308" t="n"/>
      <c r="D43" s="308" t="n"/>
      <c r="E43" s="403" t="n"/>
      <c r="F43" s="308" t="n"/>
      <c r="G43" s="308" t="n"/>
      <c r="H43" s="404" t="n"/>
      <c r="I43" s="308" t="n"/>
      <c r="K43" s="316" t="n"/>
      <c r="L43" s="316" t="n"/>
    </row>
    <row r="44" ht="26" customHeight="1">
      <c r="A44" s="308" t="n"/>
      <c r="B44" s="410" t="n"/>
      <c r="C44" s="308" t="n"/>
      <c r="D44" s="308" t="n"/>
      <c r="E44" s="403" t="n"/>
      <c r="F44" s="308" t="n"/>
      <c r="G44" s="308" t="n"/>
      <c r="H44" s="404" t="n"/>
      <c r="I44" s="308" t="n"/>
      <c r="K44" s="316" t="n"/>
      <c r="L44" s="316" t="n"/>
    </row>
    <row r="45" ht="26" customHeight="1">
      <c r="A45" s="308" t="n"/>
      <c r="B45" s="410" t="n"/>
      <c r="C45" s="308" t="n"/>
      <c r="D45" s="308" t="n"/>
      <c r="E45" s="403" t="n"/>
      <c r="F45" s="308" t="n"/>
      <c r="G45" s="308" t="n"/>
      <c r="H45" s="404" t="n"/>
      <c r="I45" s="308" t="n"/>
      <c r="K45" s="316" t="n"/>
      <c r="L45" s="316" t="n"/>
    </row>
    <row r="46" ht="26" customHeight="1">
      <c r="A46" s="308" t="n"/>
      <c r="B46" s="410" t="n"/>
      <c r="C46" s="308" t="n"/>
      <c r="D46" s="308" t="n"/>
      <c r="E46" s="403" t="n"/>
      <c r="F46" s="308" t="n"/>
      <c r="G46" s="308" t="n"/>
      <c r="H46" s="404" t="n"/>
      <c r="I46" s="308" t="n"/>
      <c r="K46" s="316" t="n"/>
      <c r="L46" s="316" t="n"/>
    </row>
    <row r="47" ht="26" customHeight="1">
      <c r="A47" s="308" t="n"/>
      <c r="B47" s="410" t="n"/>
      <c r="C47" s="308" t="n"/>
      <c r="D47" s="308" t="n"/>
      <c r="E47" s="403" t="n"/>
      <c r="F47" s="308" t="n"/>
      <c r="G47" s="308" t="n"/>
      <c r="H47" s="404" t="n"/>
      <c r="I47" s="308" t="n"/>
    </row>
    <row r="48" ht="26" customHeight="1">
      <c r="A48" s="308" t="n"/>
      <c r="B48" s="410" t="n"/>
      <c r="C48" s="308" t="n"/>
      <c r="D48" s="308" t="n"/>
      <c r="E48" s="403" t="n"/>
      <c r="F48" s="308" t="n"/>
      <c r="G48" s="308" t="n"/>
      <c r="H48" s="404" t="n"/>
      <c r="I48" s="308" t="n"/>
    </row>
    <row r="49" ht="26" customHeight="1">
      <c r="A49" s="308" t="n"/>
      <c r="B49" s="410" t="n"/>
      <c r="C49" s="308" t="n"/>
      <c r="D49" s="308" t="n"/>
      <c r="E49" s="403" t="n"/>
      <c r="F49" s="308" t="n"/>
      <c r="G49" s="308" t="n"/>
      <c r="H49" s="404" t="n"/>
      <c r="I49" s="308" t="n"/>
    </row>
    <row r="50" ht="26" customHeight="1">
      <c r="A50" s="308" t="n"/>
      <c r="B50" s="410" t="n"/>
      <c r="C50" s="308" t="n"/>
      <c r="D50" s="308" t="n"/>
      <c r="E50" s="403" t="n"/>
      <c r="F50" s="308" t="n"/>
      <c r="G50" s="308" t="n"/>
      <c r="H50" s="404" t="n"/>
      <c r="I50" s="308" t="n"/>
    </row>
    <row r="51" ht="26" customHeight="1">
      <c r="A51" s="308" t="n"/>
      <c r="B51" s="410" t="n"/>
      <c r="C51" s="308" t="n"/>
      <c r="D51" s="308" t="n"/>
      <c r="E51" s="403" t="n"/>
      <c r="F51" s="308" t="n"/>
      <c r="G51" s="308" t="n"/>
      <c r="H51" s="404" t="n"/>
      <c r="I51" s="308" t="n"/>
    </row>
    <row r="52" ht="26" customHeight="1">
      <c r="A52" s="308" t="n"/>
      <c r="B52" s="410" t="n"/>
      <c r="C52" s="308" t="n"/>
      <c r="D52" s="308" t="n"/>
      <c r="E52" s="403" t="n"/>
      <c r="F52" s="308" t="n"/>
      <c r="G52" s="308" t="n"/>
      <c r="H52" s="404" t="n"/>
      <c r="I52" s="308" t="n"/>
    </row>
    <row r="53" ht="26" customHeight="1">
      <c r="A53" s="308" t="n"/>
      <c r="B53" s="410" t="n"/>
      <c r="C53" s="308" t="n"/>
      <c r="D53" s="308" t="n"/>
      <c r="E53" s="403" t="n"/>
      <c r="F53" s="308" t="n"/>
      <c r="G53" s="308" t="n"/>
      <c r="H53" s="404" t="n"/>
      <c r="I53" s="308" t="n"/>
    </row>
    <row r="54" ht="26" customHeight="1">
      <c r="A54" s="308" t="n"/>
      <c r="B54" s="410" t="n"/>
      <c r="C54" s="308" t="n"/>
      <c r="D54" s="308" t="n"/>
      <c r="E54" s="403" t="n"/>
      <c r="F54" s="308" t="n"/>
      <c r="G54" s="308" t="n"/>
      <c r="H54" s="404" t="n"/>
      <c r="I54" s="308" t="n"/>
    </row>
    <row r="55" ht="26" customHeight="1">
      <c r="A55" s="308" t="n"/>
      <c r="B55" s="410" t="n"/>
      <c r="C55" s="308" t="n"/>
      <c r="D55" s="308" t="n"/>
      <c r="E55" s="403" t="n"/>
      <c r="F55" s="308" t="n"/>
      <c r="G55" s="308" t="n"/>
      <c r="H55" s="404" t="n"/>
      <c r="I55" s="308" t="n"/>
    </row>
    <row r="56" ht="26" customHeight="1">
      <c r="A56" s="308" t="n"/>
      <c r="B56" s="410" t="n"/>
      <c r="C56" s="308" t="n"/>
      <c r="D56" s="308" t="n"/>
      <c r="E56" s="403" t="n"/>
      <c r="F56" s="308" t="n"/>
      <c r="G56" s="308" t="n"/>
      <c r="H56" s="404" t="n"/>
      <c r="I56" s="308" t="n"/>
    </row>
    <row r="57" ht="26" customHeight="1">
      <c r="A57" s="308" t="n"/>
      <c r="B57" s="410" t="n"/>
      <c r="C57" s="308" t="n"/>
      <c r="D57" s="308" t="n"/>
      <c r="E57" s="403" t="n"/>
      <c r="F57" s="308" t="n"/>
      <c r="G57" s="308" t="n"/>
      <c r="H57" s="404" t="n"/>
      <c r="I57" s="308" t="n"/>
    </row>
    <row r="58" ht="26" customHeight="1">
      <c r="A58" s="308" t="n"/>
      <c r="B58" s="410" t="n"/>
      <c r="C58" s="308" t="n"/>
      <c r="D58" s="308" t="n"/>
      <c r="E58" s="403" t="n"/>
      <c r="F58" s="308" t="n"/>
      <c r="G58" s="308" t="n"/>
      <c r="H58" s="404" t="n"/>
      <c r="I58" s="308" t="n"/>
    </row>
    <row r="59" ht="26" customHeight="1">
      <c r="A59" s="308" t="n"/>
      <c r="B59" s="410" t="n"/>
      <c r="C59" s="308" t="n"/>
      <c r="D59" s="308" t="n"/>
      <c r="E59" s="403" t="n"/>
      <c r="F59" s="308" t="n"/>
      <c r="G59" s="308" t="n"/>
      <c r="H59" s="404" t="n"/>
      <c r="I59" s="308" t="n"/>
    </row>
    <row r="60" ht="26" customHeight="1">
      <c r="A60" s="308" t="n"/>
      <c r="B60" s="410" t="n"/>
      <c r="C60" s="308" t="n"/>
      <c r="D60" s="308" t="n"/>
      <c r="E60" s="403" t="n"/>
      <c r="F60" s="308" t="n"/>
      <c r="G60" s="308" t="n"/>
      <c r="H60" s="404" t="n"/>
      <c r="I60" s="308" t="n"/>
    </row>
    <row r="61" ht="26" customHeight="1">
      <c r="A61" s="308" t="n"/>
      <c r="B61" s="410" t="n"/>
      <c r="C61" s="308" t="n"/>
      <c r="D61" s="308" t="n"/>
      <c r="E61" s="403" t="n"/>
      <c r="F61" s="308" t="n"/>
      <c r="G61" s="308" t="n"/>
      <c r="H61" s="404" t="n"/>
      <c r="I61" s="308" t="n"/>
    </row>
    <row r="62" ht="26" customHeight="1">
      <c r="A62" s="308" t="n"/>
      <c r="B62" s="410" t="n"/>
      <c r="C62" s="308" t="n"/>
      <c r="D62" s="308" t="n"/>
      <c r="E62" s="403" t="n"/>
      <c r="F62" s="308" t="n"/>
      <c r="G62" s="308" t="n"/>
      <c r="H62" s="404" t="n"/>
      <c r="I62" s="308" t="n"/>
    </row>
    <row r="63" ht="26" customHeight="1">
      <c r="A63" s="308" t="n"/>
      <c r="B63" s="410" t="n"/>
      <c r="C63" s="308" t="n"/>
      <c r="D63" s="308" t="n"/>
      <c r="E63" s="403" t="n"/>
      <c r="F63" s="308" t="n"/>
      <c r="G63" s="308" t="n"/>
      <c r="H63" s="404" t="n"/>
      <c r="I63" s="308" t="n"/>
    </row>
    <row r="64" ht="26" customHeight="1">
      <c r="A64" s="308" t="n"/>
      <c r="B64" s="410" t="n"/>
      <c r="C64" s="308" t="n"/>
      <c r="D64" s="308" t="n"/>
      <c r="E64" s="403" t="n"/>
      <c r="F64" s="308" t="n"/>
      <c r="G64" s="308" t="n"/>
      <c r="H64" s="404" t="n"/>
      <c r="I64" s="308" t="n"/>
    </row>
    <row r="65" ht="26" customHeight="1">
      <c r="A65" s="308" t="n"/>
      <c r="B65" s="410" t="n"/>
      <c r="C65" s="308" t="n"/>
      <c r="D65" s="308" t="n"/>
      <c r="E65" s="403" t="n"/>
      <c r="F65" s="308" t="n"/>
      <c r="G65" s="308" t="n"/>
      <c r="H65" s="404" t="n"/>
      <c r="I65" s="308" t="n"/>
    </row>
    <row r="66" ht="26" customHeight="1">
      <c r="A66" s="308" t="n"/>
      <c r="B66" s="410" t="n"/>
      <c r="C66" s="308" t="n"/>
      <c r="D66" s="308" t="n"/>
      <c r="E66" s="403" t="n"/>
      <c r="F66" s="308" t="n"/>
      <c r="G66" s="308" t="n"/>
      <c r="H66" s="404" t="n"/>
      <c r="I66" s="308" t="n"/>
    </row>
    <row r="67" ht="26" customHeight="1">
      <c r="A67" s="308" t="n"/>
      <c r="B67" s="410" t="n"/>
      <c r="C67" s="308" t="n"/>
      <c r="D67" s="308" t="n"/>
      <c r="E67" s="403" t="n"/>
      <c r="F67" s="308" t="n"/>
      <c r="G67" s="308" t="n"/>
      <c r="H67" s="404" t="n"/>
      <c r="I67" s="308" t="n"/>
    </row>
    <row r="68" ht="26" customHeight="1">
      <c r="A68" s="308" t="n"/>
      <c r="B68" s="410" t="n"/>
      <c r="C68" s="308" t="n"/>
      <c r="D68" s="308" t="n"/>
      <c r="E68" s="403" t="n"/>
      <c r="F68" s="308" t="n"/>
      <c r="G68" s="308" t="n"/>
      <c r="H68" s="404" t="n"/>
      <c r="I68" s="308" t="n"/>
    </row>
    <row r="69" ht="26" customHeight="1">
      <c r="A69" s="308" t="n"/>
      <c r="B69" s="410" t="n"/>
      <c r="C69" s="308" t="n"/>
      <c r="D69" s="308" t="n"/>
      <c r="E69" s="403" t="n"/>
      <c r="F69" s="308" t="n"/>
      <c r="G69" s="308" t="n"/>
      <c r="H69" s="404" t="n"/>
      <c r="I69" s="308" t="n"/>
    </row>
    <row r="70" ht="26" customHeight="1">
      <c r="A70" s="308" t="n"/>
      <c r="B70" s="410" t="n"/>
      <c r="C70" s="308" t="n"/>
      <c r="D70" s="308" t="n"/>
      <c r="E70" s="403" t="n"/>
      <c r="F70" s="308" t="n"/>
      <c r="G70" s="308" t="n"/>
      <c r="H70" s="404" t="n"/>
      <c r="I70" s="308" t="n"/>
    </row>
    <row r="71" ht="26" customHeight="1">
      <c r="A71" s="308" t="n"/>
      <c r="B71" s="410" t="n"/>
      <c r="C71" s="308" t="n"/>
      <c r="D71" s="308" t="n"/>
      <c r="E71" s="403" t="n"/>
      <c r="F71" s="308" t="n"/>
      <c r="G71" s="308" t="n"/>
      <c r="H71" s="404" t="n"/>
      <c r="I71" s="308" t="n"/>
    </row>
    <row r="72" ht="26" customHeight="1">
      <c r="A72" s="308" t="n"/>
      <c r="B72" s="410" t="n"/>
      <c r="C72" s="308" t="n"/>
      <c r="D72" s="308" t="n"/>
      <c r="E72" s="403" t="n"/>
      <c r="F72" s="308" t="n"/>
      <c r="G72" s="308" t="n"/>
      <c r="H72" s="404" t="n"/>
      <c r="I72" s="308" t="n"/>
    </row>
    <row r="73" ht="26" customHeight="1">
      <c r="A73" s="308" t="n"/>
      <c r="B73" s="410" t="n"/>
      <c r="C73" s="308" t="n"/>
      <c r="D73" s="308" t="n"/>
      <c r="E73" s="403" t="n"/>
      <c r="F73" s="308" t="n"/>
      <c r="G73" s="308" t="n"/>
      <c r="H73" s="404" t="n"/>
      <c r="I73" s="308" t="n"/>
    </row>
    <row r="74" ht="26" customHeight="1">
      <c r="A74" s="308" t="n"/>
      <c r="B74" s="410" t="n"/>
      <c r="C74" s="308" t="n"/>
      <c r="D74" s="308" t="n"/>
      <c r="E74" s="403" t="n"/>
      <c r="F74" s="308" t="n"/>
      <c r="G74" s="308" t="n"/>
      <c r="H74" s="404" t="n"/>
      <c r="I74" s="308" t="n"/>
    </row>
    <row r="75" ht="26" customHeight="1">
      <c r="A75" s="308" t="n"/>
      <c r="B75" s="410" t="n"/>
      <c r="C75" s="308" t="n"/>
      <c r="D75" s="308" t="n"/>
      <c r="E75" s="403" t="n"/>
      <c r="F75" s="308" t="n"/>
      <c r="G75" s="308" t="n"/>
      <c r="H75" s="404" t="n"/>
      <c r="I75" s="308" t="n"/>
    </row>
    <row r="76" ht="26" customHeight="1">
      <c r="A76" s="308" t="n"/>
      <c r="B76" s="410" t="n"/>
      <c r="C76" s="308" t="n"/>
      <c r="D76" s="308" t="n"/>
      <c r="E76" s="403" t="n"/>
      <c r="F76" s="308" t="n"/>
      <c r="G76" s="308" t="n"/>
      <c r="H76" s="404" t="n"/>
      <c r="I76" s="308" t="n"/>
    </row>
    <row r="77" ht="26" customHeight="1">
      <c r="A77" s="308" t="n"/>
      <c r="B77" s="410" t="n"/>
      <c r="C77" s="308" t="n"/>
      <c r="D77" s="308" t="n"/>
      <c r="E77" s="403" t="n"/>
      <c r="F77" s="308" t="n"/>
      <c r="G77" s="308" t="n"/>
      <c r="H77" s="404" t="n"/>
      <c r="I77" s="308" t="n"/>
    </row>
    <row r="78" ht="26" customHeight="1">
      <c r="A78" s="308" t="n"/>
      <c r="B78" s="410" t="n"/>
      <c r="C78" s="308" t="n"/>
      <c r="D78" s="308" t="n"/>
      <c r="E78" s="403" t="n"/>
      <c r="F78" s="308" t="n"/>
      <c r="G78" s="308" t="n"/>
      <c r="H78" s="404" t="n"/>
      <c r="I78" s="308" t="n"/>
    </row>
    <row r="79" ht="26" customHeight="1">
      <c r="A79" s="308" t="n"/>
      <c r="B79" s="410" t="n"/>
      <c r="C79" s="308" t="n"/>
      <c r="D79" s="308" t="n"/>
      <c r="E79" s="403" t="n"/>
      <c r="F79" s="308" t="n"/>
      <c r="G79" s="308" t="n"/>
      <c r="H79" s="404" t="n"/>
      <c r="I79" s="308" t="n"/>
    </row>
    <row r="80" ht="26" customHeight="1">
      <c r="A80" s="308" t="n"/>
      <c r="B80" s="410" t="n"/>
      <c r="C80" s="308" t="n"/>
      <c r="D80" s="308" t="n"/>
      <c r="E80" s="403" t="n"/>
      <c r="F80" s="308" t="n"/>
      <c r="G80" s="308" t="n"/>
      <c r="H80" s="404" t="n"/>
      <c r="I80" s="308" t="n"/>
    </row>
    <row r="81" ht="26" customHeight="1">
      <c r="A81" s="308" t="n"/>
      <c r="B81" s="410" t="n"/>
      <c r="C81" s="308" t="n"/>
      <c r="D81" s="308" t="n"/>
      <c r="E81" s="403" t="n"/>
      <c r="F81" s="308" t="n"/>
      <c r="G81" s="308" t="n"/>
      <c r="H81" s="404" t="n"/>
      <c r="I81" s="308" t="n"/>
    </row>
    <row r="82" ht="26" customHeight="1">
      <c r="A82" s="308" t="n"/>
      <c r="B82" s="410" t="n"/>
      <c r="C82" s="308" t="n"/>
      <c r="D82" s="308" t="n"/>
      <c r="E82" s="403" t="n"/>
      <c r="F82" s="308" t="n"/>
      <c r="G82" s="308" t="n"/>
      <c r="H82" s="404" t="n"/>
      <c r="I82" s="308" t="n"/>
    </row>
    <row r="83" ht="26" customHeight="1">
      <c r="A83" s="308" t="n"/>
      <c r="B83" s="410" t="n"/>
      <c r="C83" s="308" t="n"/>
      <c r="D83" s="308" t="n"/>
      <c r="E83" s="403" t="n"/>
      <c r="F83" s="308" t="n"/>
      <c r="G83" s="308" t="n"/>
      <c r="H83" s="404" t="n"/>
      <c r="I83" s="308" t="n"/>
    </row>
    <row r="84" ht="26" customHeight="1">
      <c r="A84" s="308" t="n"/>
      <c r="B84" s="410" t="n"/>
      <c r="C84" s="308" t="n"/>
      <c r="D84" s="308" t="n"/>
      <c r="E84" s="403" t="n"/>
      <c r="F84" s="308" t="n"/>
      <c r="G84" s="308" t="n"/>
      <c r="H84" s="404" t="n"/>
      <c r="I84" s="308" t="n"/>
    </row>
    <row r="85" ht="26" customHeight="1">
      <c r="A85" s="308" t="n"/>
      <c r="B85" s="410" t="n"/>
      <c r="C85" s="308" t="n"/>
      <c r="D85" s="308" t="n"/>
      <c r="E85" s="403" t="n"/>
      <c r="F85" s="308" t="n"/>
      <c r="G85" s="308" t="n"/>
      <c r="H85" s="404" t="n"/>
      <c r="I85" s="308" t="n"/>
    </row>
    <row r="86" ht="26" customHeight="1">
      <c r="A86" s="308" t="n"/>
      <c r="B86" s="410" t="n"/>
      <c r="C86" s="308" t="n"/>
      <c r="D86" s="308" t="n"/>
      <c r="E86" s="403" t="n"/>
      <c r="F86" s="308" t="n"/>
      <c r="G86" s="308" t="n"/>
      <c r="H86" s="404" t="n"/>
      <c r="I86" s="308" t="n"/>
    </row>
    <row r="87" ht="26" customHeight="1">
      <c r="A87" s="308" t="n"/>
      <c r="B87" s="410" t="n"/>
      <c r="C87" s="308" t="n"/>
      <c r="D87" s="308" t="n"/>
      <c r="E87" s="403" t="n"/>
      <c r="F87" s="308" t="n"/>
      <c r="G87" s="308" t="n"/>
      <c r="H87" s="404" t="n"/>
      <c r="I87" s="308" t="n"/>
    </row>
    <row r="88" ht="26" customHeight="1">
      <c r="A88" s="308" t="n"/>
      <c r="B88" s="410" t="n"/>
      <c r="C88" s="308" t="n"/>
      <c r="D88" s="308" t="n"/>
      <c r="E88" s="403" t="n"/>
      <c r="F88" s="308" t="n"/>
      <c r="G88" s="308" t="n"/>
      <c r="H88" s="404" t="n"/>
      <c r="I88" s="308" t="n"/>
    </row>
    <row r="89" ht="26" customHeight="1">
      <c r="A89" s="308" t="n"/>
      <c r="B89" s="410" t="n"/>
      <c r="C89" s="308" t="n"/>
      <c r="D89" s="308" t="n"/>
      <c r="E89" s="403" t="n"/>
      <c r="F89" s="308" t="n"/>
      <c r="G89" s="308" t="n"/>
      <c r="H89" s="404" t="n"/>
      <c r="I89" s="308" t="n"/>
    </row>
    <row r="90" ht="26" customHeight="1">
      <c r="A90" s="308" t="n"/>
      <c r="B90" s="410" t="n"/>
      <c r="C90" s="308" t="n"/>
      <c r="D90" s="308" t="n"/>
      <c r="E90" s="403" t="n"/>
      <c r="F90" s="308" t="n"/>
      <c r="G90" s="308" t="n"/>
      <c r="H90" s="404" t="n"/>
      <c r="I90" s="308" t="n"/>
    </row>
    <row r="91" ht="26" customHeight="1">
      <c r="A91" s="308" t="n"/>
      <c r="B91" s="410" t="n"/>
      <c r="C91" s="308" t="n"/>
      <c r="D91" s="308" t="n"/>
      <c r="E91" s="403" t="n"/>
      <c r="F91" s="308" t="n"/>
      <c r="G91" s="308" t="n"/>
      <c r="H91" s="404" t="n"/>
      <c r="I91" s="308" t="n"/>
    </row>
    <row r="92" ht="26" customHeight="1">
      <c r="A92" s="308" t="n"/>
      <c r="B92" s="410" t="n"/>
      <c r="C92" s="308" t="n"/>
      <c r="D92" s="308" t="n"/>
      <c r="E92" s="403" t="n"/>
      <c r="F92" s="308" t="n"/>
      <c r="G92" s="308" t="n"/>
      <c r="H92" s="404" t="n"/>
      <c r="I92" s="308" t="n"/>
    </row>
    <row r="93" ht="26" customHeight="1">
      <c r="A93" s="308" t="n"/>
      <c r="B93" s="410" t="n"/>
      <c r="C93" s="308" t="n"/>
      <c r="D93" s="308" t="n"/>
      <c r="E93" s="403" t="n"/>
      <c r="F93" s="308" t="n"/>
      <c r="G93" s="308" t="n"/>
      <c r="H93" s="404" t="n"/>
      <c r="I93" s="308" t="n"/>
    </row>
    <row r="94" ht="26" customHeight="1">
      <c r="A94" s="308" t="n"/>
      <c r="B94" s="410" t="n"/>
      <c r="C94" s="308" t="n"/>
      <c r="D94" s="308" t="n"/>
      <c r="E94" s="403" t="n"/>
      <c r="F94" s="308" t="n"/>
      <c r="G94" s="308" t="n"/>
      <c r="H94" s="404" t="n"/>
      <c r="I94" s="308" t="n"/>
    </row>
    <row r="95" ht="26" customHeight="1">
      <c r="A95" s="308" t="n"/>
      <c r="B95" s="410" t="n"/>
      <c r="C95" s="308" t="n"/>
      <c r="D95" s="308" t="n"/>
      <c r="E95" s="403" t="n"/>
      <c r="F95" s="308" t="n"/>
      <c r="G95" s="308" t="n"/>
      <c r="H95" s="404" t="n"/>
      <c r="I95" s="308" t="n"/>
    </row>
    <row r="96" ht="26" customHeight="1">
      <c r="A96" s="308" t="n"/>
      <c r="B96" s="410" t="n"/>
      <c r="C96" s="308" t="n"/>
      <c r="D96" s="308" t="n"/>
      <c r="E96" s="403" t="n"/>
      <c r="F96" s="308" t="n"/>
      <c r="G96" s="308" t="n"/>
      <c r="H96" s="404" t="n"/>
      <c r="I96" s="308" t="n"/>
    </row>
    <row r="97" ht="26" customHeight="1">
      <c r="A97" s="308" t="n"/>
      <c r="B97" s="410" t="n"/>
      <c r="C97" s="308" t="n"/>
      <c r="D97" s="308" t="n"/>
      <c r="E97" s="403" t="n"/>
      <c r="F97" s="308" t="n"/>
      <c r="G97" s="308" t="n"/>
      <c r="H97" s="404" t="n"/>
      <c r="I97" s="308" t="n"/>
    </row>
    <row r="98" ht="26" customHeight="1">
      <c r="A98" s="308" t="n"/>
      <c r="B98" s="410" t="n"/>
      <c r="C98" s="308" t="n"/>
      <c r="D98" s="308" t="n"/>
      <c r="E98" s="403" t="n"/>
      <c r="F98" s="308" t="n"/>
      <c r="G98" s="308" t="n"/>
      <c r="H98" s="404" t="n"/>
      <c r="I98" s="308" t="n"/>
    </row>
    <row r="99" ht="26" customHeight="1">
      <c r="A99" s="308" t="n"/>
      <c r="B99" s="410" t="n"/>
      <c r="C99" s="308" t="n"/>
      <c r="D99" s="308" t="n"/>
      <c r="E99" s="403" t="n"/>
      <c r="F99" s="308" t="n"/>
      <c r="G99" s="308" t="n"/>
      <c r="H99" s="404" t="n"/>
      <c r="I99" s="308" t="n"/>
    </row>
    <row r="100" ht="26" customHeight="1">
      <c r="A100" s="308" t="n"/>
      <c r="B100" s="410" t="n"/>
      <c r="C100" s="308" t="n"/>
      <c r="D100" s="308" t="n"/>
      <c r="E100" s="403" t="n"/>
      <c r="F100" s="308" t="n"/>
      <c r="G100" s="308" t="n"/>
      <c r="H100" s="404" t="n"/>
      <c r="I100" s="308" t="n"/>
    </row>
    <row r="101" ht="26" customHeight="1">
      <c r="A101" s="308" t="n"/>
      <c r="B101" s="410" t="n"/>
      <c r="C101" s="308" t="n"/>
      <c r="D101" s="308" t="n"/>
      <c r="E101" s="403" t="n"/>
      <c r="F101" s="308" t="n"/>
      <c r="G101" s="308" t="n"/>
      <c r="H101" s="404" t="n"/>
      <c r="I101" s="308" t="n"/>
    </row>
    <row r="102" ht="26" customHeight="1">
      <c r="A102" s="308" t="n"/>
      <c r="B102" s="410" t="n"/>
      <c r="C102" s="308" t="n"/>
      <c r="D102" s="308" t="n"/>
      <c r="E102" s="403" t="n"/>
      <c r="F102" s="308" t="n"/>
      <c r="G102" s="308" t="n"/>
      <c r="H102" s="404" t="n"/>
      <c r="I102" s="308" t="n"/>
    </row>
    <row r="103" ht="26" customHeight="1">
      <c r="A103" s="308" t="n"/>
      <c r="B103" s="410" t="n"/>
      <c r="C103" s="308" t="n"/>
      <c r="D103" s="308" t="n"/>
      <c r="E103" s="403" t="n"/>
      <c r="F103" s="308" t="n"/>
      <c r="G103" s="308" t="n"/>
      <c r="H103" s="404" t="n"/>
      <c r="I103" s="308" t="n"/>
    </row>
    <row r="104" ht="26" customHeight="1">
      <c r="A104" s="308" t="n"/>
      <c r="B104" s="410" t="n"/>
      <c r="C104" s="308" t="n"/>
      <c r="D104" s="308" t="n"/>
      <c r="E104" s="403" t="n"/>
      <c r="F104" s="308" t="n"/>
      <c r="G104" s="308" t="n"/>
      <c r="H104" s="404" t="n"/>
      <c r="I104" s="308" t="n"/>
    </row>
    <row r="105" ht="26" customHeight="1">
      <c r="A105" s="308" t="n"/>
      <c r="B105" s="410" t="n"/>
      <c r="C105" s="308" t="n"/>
      <c r="D105" s="308" t="n"/>
      <c r="E105" s="403" t="n"/>
      <c r="F105" s="308" t="n"/>
      <c r="G105" s="308" t="n"/>
      <c r="H105" s="404" t="n"/>
      <c r="I105" s="308" t="n"/>
    </row>
    <row r="106" ht="26" customHeight="1">
      <c r="A106" s="308" t="n"/>
      <c r="B106" s="410" t="n"/>
      <c r="C106" s="308" t="n"/>
      <c r="D106" s="308" t="n"/>
      <c r="E106" s="403" t="n"/>
      <c r="F106" s="308" t="n"/>
      <c r="G106" s="308" t="n"/>
      <c r="H106" s="404" t="n"/>
      <c r="I106" s="308" t="n"/>
    </row>
    <row r="107" ht="26" customHeight="1">
      <c r="A107" s="308" t="n"/>
      <c r="B107" s="410" t="n"/>
      <c r="C107" s="308" t="n"/>
      <c r="D107" s="308" t="n"/>
      <c r="E107" s="403" t="n"/>
      <c r="F107" s="308" t="n"/>
      <c r="G107" s="308" t="n"/>
      <c r="H107" s="404" t="n"/>
      <c r="I107" s="308" t="n"/>
    </row>
    <row r="108" ht="26" customHeight="1">
      <c r="A108" s="308" t="n"/>
      <c r="B108" s="410" t="n"/>
      <c r="C108" s="308" t="n"/>
      <c r="D108" s="308" t="n"/>
      <c r="E108" s="403" t="n"/>
      <c r="F108" s="308" t="n"/>
      <c r="G108" s="308" t="n"/>
      <c r="H108" s="404" t="n"/>
      <c r="I108" s="308" t="n"/>
    </row>
    <row r="109" ht="26" customHeight="1">
      <c r="A109" s="308" t="n"/>
      <c r="B109" s="410" t="n"/>
      <c r="C109" s="308" t="n"/>
      <c r="D109" s="308" t="n"/>
      <c r="E109" s="403" t="n"/>
      <c r="F109" s="308" t="n"/>
      <c r="G109" s="308" t="n"/>
      <c r="H109" s="404" t="n"/>
      <c r="I109" s="308" t="n"/>
    </row>
    <row r="110" ht="26" customHeight="1">
      <c r="A110" s="308" t="n"/>
      <c r="B110" s="410" t="n"/>
      <c r="C110" s="308" t="n"/>
      <c r="D110" s="308" t="n"/>
      <c r="E110" s="403" t="n"/>
      <c r="F110" s="308" t="n"/>
      <c r="G110" s="308" t="n"/>
      <c r="H110" s="404" t="n"/>
      <c r="I110" s="308" t="n"/>
    </row>
    <row r="111" ht="26" customHeight="1">
      <c r="A111" s="308" t="n"/>
      <c r="B111" s="410" t="n"/>
      <c r="C111" s="308" t="n"/>
      <c r="D111" s="308" t="n"/>
      <c r="E111" s="403" t="n"/>
      <c r="F111" s="308" t="n"/>
      <c r="G111" s="308" t="n"/>
      <c r="H111" s="404" t="n"/>
      <c r="I111" s="308" t="n"/>
    </row>
    <row r="112" ht="26" customHeight="1">
      <c r="A112" s="308" t="n"/>
      <c r="B112" s="410" t="n"/>
      <c r="C112" s="308" t="n"/>
      <c r="D112" s="308" t="n"/>
      <c r="E112" s="403" t="n"/>
      <c r="F112" s="308" t="n"/>
      <c r="G112" s="308" t="n"/>
      <c r="H112" s="404" t="n"/>
      <c r="I112" s="308" t="n"/>
    </row>
    <row r="113" ht="26" customHeight="1">
      <c r="A113" s="308" t="n"/>
      <c r="B113" s="410" t="n"/>
      <c r="C113" s="308" t="n"/>
      <c r="D113" s="308" t="n"/>
      <c r="E113" s="403" t="n"/>
      <c r="F113" s="308" t="n"/>
      <c r="G113" s="308" t="n"/>
      <c r="H113" s="404" t="n"/>
      <c r="I113" s="308" t="n"/>
    </row>
    <row r="114" ht="26" customHeight="1">
      <c r="A114" s="308" t="n"/>
      <c r="B114" s="410" t="n"/>
      <c r="C114" s="308" t="n"/>
      <c r="D114" s="308" t="n"/>
      <c r="E114" s="403" t="n"/>
      <c r="F114" s="308" t="n"/>
      <c r="G114" s="308" t="n"/>
      <c r="H114" s="404" t="n"/>
      <c r="I114" s="308" t="n"/>
    </row>
    <row r="115" ht="26" customHeight="1">
      <c r="A115" s="308" t="n"/>
      <c r="B115" s="410" t="n"/>
      <c r="C115" s="308" t="n"/>
      <c r="D115" s="308" t="n"/>
      <c r="E115" s="403" t="n"/>
      <c r="F115" s="308" t="n"/>
      <c r="G115" s="308" t="n"/>
      <c r="H115" s="404" t="n"/>
      <c r="I115" s="308" t="n"/>
    </row>
    <row r="116" ht="26" customHeight="1">
      <c r="A116" s="308" t="n"/>
      <c r="B116" s="410" t="n"/>
      <c r="C116" s="308" t="n"/>
      <c r="D116" s="308" t="n"/>
      <c r="E116" s="403" t="n"/>
      <c r="F116" s="308" t="n"/>
      <c r="G116" s="308" t="n"/>
      <c r="H116" s="404" t="n"/>
      <c r="I116" s="308" t="n"/>
    </row>
    <row r="117" ht="26" customHeight="1">
      <c r="A117" s="308" t="n"/>
      <c r="B117" s="410" t="n"/>
      <c r="C117" s="308" t="n"/>
      <c r="D117" s="308" t="n"/>
      <c r="E117" s="403" t="n"/>
      <c r="F117" s="308" t="n"/>
      <c r="G117" s="308" t="n"/>
      <c r="H117" s="404" t="n"/>
      <c r="I117" s="308" t="n"/>
    </row>
    <row r="118" ht="26" customHeight="1">
      <c r="A118" s="308" t="n"/>
      <c r="B118" s="410" t="n"/>
      <c r="C118" s="308" t="n"/>
      <c r="D118" s="308" t="n"/>
      <c r="E118" s="403" t="n"/>
      <c r="F118" s="308" t="n"/>
      <c r="G118" s="308" t="n"/>
      <c r="H118" s="404" t="n"/>
      <c r="I118" s="308" t="n"/>
    </row>
    <row r="119" ht="26" customHeight="1">
      <c r="A119" s="308" t="n"/>
      <c r="B119" s="410" t="n"/>
      <c r="C119" s="308" t="n"/>
      <c r="D119" s="308" t="n"/>
      <c r="E119" s="403" t="n"/>
      <c r="F119" s="308" t="n"/>
      <c r="G119" s="308" t="n"/>
      <c r="H119" s="404" t="n"/>
      <c r="I119" s="308" t="n"/>
    </row>
    <row r="120" ht="26" customHeight="1">
      <c r="A120" s="308" t="n"/>
      <c r="B120" s="410" t="n"/>
      <c r="C120" s="308" t="n"/>
      <c r="D120" s="308" t="n"/>
      <c r="E120" s="403" t="n"/>
      <c r="F120" s="308" t="n"/>
      <c r="G120" s="308" t="n"/>
      <c r="H120" s="404" t="n"/>
      <c r="I120" s="308" t="n"/>
    </row>
    <row r="121" ht="26" customHeight="1">
      <c r="A121" s="308" t="n"/>
      <c r="B121" s="410" t="n"/>
      <c r="C121" s="308" t="n"/>
      <c r="D121" s="308" t="n"/>
      <c r="E121" s="403" t="n"/>
      <c r="F121" s="308" t="n"/>
      <c r="G121" s="308" t="n"/>
      <c r="H121" s="404" t="n"/>
      <c r="I121" s="308" t="n"/>
    </row>
    <row r="122" ht="26" customHeight="1">
      <c r="A122" s="308" t="n"/>
      <c r="B122" s="410" t="n"/>
      <c r="C122" s="308" t="n"/>
      <c r="D122" s="308" t="n"/>
      <c r="E122" s="403" t="n"/>
      <c r="F122" s="308" t="n"/>
      <c r="G122" s="308" t="n"/>
      <c r="H122" s="404" t="n"/>
      <c r="I122" s="308" t="n"/>
    </row>
    <row r="123" ht="26" customHeight="1">
      <c r="A123" s="308" t="n"/>
      <c r="B123" s="410" t="n"/>
      <c r="C123" s="308" t="n"/>
      <c r="D123" s="308" t="n"/>
      <c r="E123" s="403" t="n"/>
      <c r="F123" s="308" t="n"/>
      <c r="G123" s="308" t="n"/>
      <c r="H123" s="404" t="n"/>
      <c r="I123" s="308" t="n"/>
    </row>
    <row r="124" ht="26" customHeight="1">
      <c r="A124" s="308" t="n"/>
      <c r="B124" s="410" t="n"/>
      <c r="C124" s="308" t="n"/>
      <c r="D124" s="308" t="n"/>
      <c r="E124" s="403" t="n"/>
      <c r="F124" s="308" t="n"/>
      <c r="G124" s="308" t="n"/>
      <c r="H124" s="404" t="n"/>
      <c r="I124" s="308" t="n"/>
    </row>
    <row r="125" ht="26" customHeight="1">
      <c r="A125" s="308" t="n"/>
      <c r="B125" s="410" t="n"/>
      <c r="C125" s="308" t="n"/>
      <c r="D125" s="308" t="n"/>
      <c r="E125" s="403" t="n"/>
      <c r="F125" s="308" t="n"/>
      <c r="G125" s="308" t="n"/>
      <c r="H125" s="404" t="n"/>
      <c r="I125" s="308" t="n"/>
    </row>
    <row r="126" ht="26" customHeight="1">
      <c r="A126" s="308" t="n"/>
      <c r="B126" s="410" t="n"/>
      <c r="C126" s="308" t="n"/>
      <c r="D126" s="308" t="n"/>
      <c r="E126" s="403" t="n"/>
      <c r="F126" s="308" t="n"/>
      <c r="G126" s="308" t="n"/>
      <c r="H126" s="404" t="n"/>
      <c r="I126" s="308" t="n"/>
    </row>
    <row r="127" ht="26" customHeight="1">
      <c r="A127" s="308" t="n"/>
      <c r="B127" s="410" t="n"/>
      <c r="C127" s="308" t="n"/>
      <c r="D127" s="308" t="n"/>
      <c r="E127" s="403" t="n"/>
      <c r="F127" s="308" t="n"/>
      <c r="G127" s="308" t="n"/>
      <c r="H127" s="404" t="n"/>
      <c r="I127" s="308" t="n"/>
    </row>
    <row r="128" ht="26" customHeight="1">
      <c r="A128" s="308" t="n"/>
      <c r="B128" s="410" t="n"/>
      <c r="C128" s="308" t="n"/>
      <c r="D128" s="308" t="n"/>
      <c r="E128" s="403" t="n"/>
      <c r="F128" s="308" t="n"/>
      <c r="G128" s="308" t="n"/>
      <c r="H128" s="404" t="n"/>
      <c r="I128" s="308" t="n"/>
    </row>
    <row r="129" ht="26" customHeight="1">
      <c r="A129" s="308" t="n"/>
      <c r="B129" s="410" t="n"/>
      <c r="C129" s="308" t="n"/>
      <c r="D129" s="308" t="n"/>
      <c r="E129" s="403" t="n"/>
      <c r="F129" s="308" t="n"/>
      <c r="G129" s="308" t="n"/>
      <c r="H129" s="404" t="n"/>
      <c r="I129" s="308" t="n"/>
    </row>
    <row r="130" ht="26" customHeight="1">
      <c r="A130" s="308" t="n"/>
      <c r="B130" s="410" t="n"/>
      <c r="C130" s="308" t="n"/>
      <c r="D130" s="308" t="n"/>
      <c r="E130" s="403" t="n"/>
      <c r="F130" s="308" t="n"/>
      <c r="G130" s="308" t="n"/>
      <c r="H130" s="404" t="n"/>
      <c r="I130" s="308" t="n"/>
    </row>
    <row r="131" ht="26" customHeight="1">
      <c r="A131" s="308" t="n"/>
      <c r="B131" s="410" t="n"/>
      <c r="C131" s="308" t="n"/>
      <c r="D131" s="308" t="n"/>
      <c r="E131" s="403" t="n"/>
      <c r="F131" s="308" t="n"/>
      <c r="G131" s="308" t="n"/>
      <c r="H131" s="404" t="n"/>
      <c r="I131" s="308" t="n"/>
    </row>
    <row r="132" ht="26" customHeight="1">
      <c r="A132" s="308" t="n"/>
      <c r="B132" s="410" t="n"/>
      <c r="C132" s="308" t="n"/>
      <c r="D132" s="308" t="n"/>
      <c r="E132" s="403" t="n"/>
      <c r="F132" s="308" t="n"/>
      <c r="G132" s="308" t="n"/>
      <c r="H132" s="404" t="n"/>
      <c r="I132" s="308" t="n"/>
    </row>
    <row r="133" ht="26" customHeight="1">
      <c r="A133" s="308" t="n"/>
      <c r="B133" s="410" t="n"/>
      <c r="C133" s="308" t="n"/>
      <c r="D133" s="308" t="n"/>
      <c r="E133" s="403" t="n"/>
      <c r="F133" s="308" t="n"/>
      <c r="G133" s="308" t="n"/>
      <c r="H133" s="404" t="n"/>
      <c r="I133" s="308" t="n"/>
    </row>
    <row r="134" ht="26" customHeight="1">
      <c r="A134" s="308" t="n"/>
      <c r="B134" s="410" t="n"/>
      <c r="C134" s="308" t="n"/>
      <c r="D134" s="308" t="n"/>
      <c r="E134" s="403" t="n"/>
      <c r="F134" s="308" t="n"/>
      <c r="G134" s="308" t="n"/>
      <c r="H134" s="404" t="n"/>
      <c r="I134" s="308" t="n"/>
    </row>
    <row r="135" ht="26" customHeight="1">
      <c r="A135" s="308" t="n"/>
      <c r="B135" s="410" t="n"/>
      <c r="C135" s="308" t="n"/>
      <c r="D135" s="308" t="n"/>
      <c r="E135" s="403" t="n"/>
      <c r="F135" s="308" t="n"/>
      <c r="G135" s="308" t="n"/>
      <c r="H135" s="404" t="n"/>
      <c r="I135" s="308" t="n"/>
    </row>
    <row r="136" ht="26" customHeight="1">
      <c r="A136" s="308" t="n"/>
      <c r="B136" s="410" t="n"/>
      <c r="C136" s="308" t="n"/>
      <c r="D136" s="308" t="n"/>
      <c r="E136" s="403" t="n"/>
      <c r="F136" s="308" t="n"/>
      <c r="G136" s="308" t="n"/>
      <c r="H136" s="404" t="n"/>
      <c r="I136" s="308" t="n"/>
    </row>
    <row r="137" ht="26" customHeight="1">
      <c r="A137" s="308" t="n"/>
      <c r="B137" s="410" t="n"/>
      <c r="C137" s="308" t="n"/>
      <c r="D137" s="308" t="n"/>
      <c r="E137" s="403" t="n"/>
      <c r="F137" s="308" t="n"/>
      <c r="G137" s="308" t="n"/>
      <c r="H137" s="404" t="n"/>
      <c r="I137" s="308" t="n"/>
    </row>
    <row r="138" ht="26" customHeight="1">
      <c r="A138" s="308" t="n"/>
      <c r="B138" s="410" t="n"/>
      <c r="C138" s="308" t="n"/>
      <c r="D138" s="308" t="n"/>
      <c r="E138" s="403" t="n"/>
      <c r="F138" s="308" t="n"/>
      <c r="G138" s="308" t="n"/>
      <c r="H138" s="404" t="n"/>
      <c r="I138" s="308" t="n"/>
    </row>
    <row r="139" ht="26" customHeight="1">
      <c r="A139" s="308" t="n"/>
      <c r="B139" s="410" t="n"/>
      <c r="C139" s="308" t="n"/>
      <c r="D139" s="308" t="n"/>
      <c r="E139" s="403" t="n"/>
      <c r="F139" s="308" t="n"/>
      <c r="G139" s="308" t="n"/>
      <c r="H139" s="404" t="n"/>
      <c r="I139" s="308" t="n"/>
    </row>
    <row r="140" ht="26" customHeight="1">
      <c r="A140" s="308" t="n"/>
      <c r="B140" s="410" t="n"/>
      <c r="C140" s="308" t="n"/>
      <c r="D140" s="308" t="n"/>
      <c r="E140" s="403" t="n"/>
      <c r="F140" s="308" t="n"/>
      <c r="G140" s="308" t="n"/>
      <c r="H140" s="404" t="n"/>
      <c r="I140" s="308" t="n"/>
    </row>
    <row r="141" ht="26" customHeight="1">
      <c r="A141" s="308" t="n"/>
      <c r="B141" s="410" t="n"/>
      <c r="C141" s="308" t="n"/>
      <c r="D141" s="308" t="n"/>
      <c r="E141" s="403" t="n"/>
      <c r="F141" s="308" t="n"/>
      <c r="G141" s="308" t="n"/>
      <c r="H141" s="404" t="n"/>
      <c r="I141" s="308" t="n"/>
    </row>
    <row r="142" ht="26" customHeight="1">
      <c r="A142" s="308" t="n"/>
      <c r="B142" s="410" t="n"/>
      <c r="C142" s="308" t="n"/>
      <c r="D142" s="308" t="n"/>
      <c r="E142" s="403" t="n"/>
      <c r="F142" s="308" t="n"/>
      <c r="G142" s="308" t="n"/>
      <c r="H142" s="404" t="n"/>
      <c r="I142" s="308" t="n"/>
    </row>
    <row r="143" ht="26" customHeight="1">
      <c r="A143" s="308" t="n"/>
      <c r="B143" s="410" t="n"/>
      <c r="C143" s="308" t="n"/>
      <c r="D143" s="308" t="n"/>
      <c r="E143" s="403" t="n"/>
      <c r="F143" s="308" t="n"/>
      <c r="G143" s="308" t="n"/>
      <c r="H143" s="404" t="n"/>
      <c r="I143" s="308" t="n"/>
    </row>
    <row r="144" ht="26" customHeight="1">
      <c r="A144" s="308" t="n"/>
      <c r="B144" s="410" t="n"/>
      <c r="C144" s="308" t="n"/>
      <c r="D144" s="308" t="n"/>
      <c r="E144" s="403" t="n"/>
      <c r="F144" s="308" t="n"/>
      <c r="G144" s="308" t="n"/>
      <c r="H144" s="404" t="n"/>
      <c r="I144" s="308" t="n"/>
    </row>
    <row r="145" ht="26" customHeight="1">
      <c r="A145" s="308" t="n"/>
      <c r="B145" s="410" t="n"/>
      <c r="C145" s="308" t="n"/>
      <c r="D145" s="308" t="n"/>
      <c r="E145" s="403" t="n"/>
      <c r="F145" s="308" t="n"/>
      <c r="G145" s="308" t="n"/>
      <c r="H145" s="404" t="n"/>
      <c r="I145" s="308" t="n"/>
    </row>
    <row r="146" ht="26" customHeight="1">
      <c r="A146" s="308" t="n"/>
      <c r="B146" s="410" t="n"/>
      <c r="C146" s="308" t="n"/>
      <c r="D146" s="308" t="n"/>
      <c r="E146" s="403" t="n"/>
      <c r="F146" s="308" t="n"/>
      <c r="G146" s="308" t="n"/>
      <c r="H146" s="404" t="n"/>
      <c r="I146" s="308" t="n"/>
    </row>
    <row r="147" ht="26" customHeight="1">
      <c r="A147" s="308" t="n"/>
      <c r="B147" s="410" t="n"/>
      <c r="C147" s="308" t="n"/>
      <c r="D147" s="308" t="n"/>
      <c r="E147" s="403" t="n"/>
      <c r="F147" s="308" t="n"/>
      <c r="G147" s="308" t="n"/>
      <c r="H147" s="404" t="n"/>
      <c r="I147" s="308" t="n"/>
    </row>
    <row r="148" ht="26" customHeight="1">
      <c r="A148" s="308" t="n"/>
      <c r="B148" s="410" t="n"/>
      <c r="C148" s="308" t="n"/>
      <c r="D148" s="308" t="n"/>
      <c r="E148" s="403" t="n"/>
      <c r="F148" s="308" t="n"/>
      <c r="G148" s="308" t="n"/>
      <c r="H148" s="404" t="n"/>
      <c r="I148" s="308" t="n"/>
    </row>
    <row r="149" ht="26" customHeight="1">
      <c r="A149" s="308" t="n"/>
      <c r="B149" s="410" t="n"/>
      <c r="C149" s="308" t="n"/>
      <c r="D149" s="308" t="n"/>
      <c r="E149" s="403" t="n"/>
      <c r="F149" s="308" t="n"/>
      <c r="G149" s="308" t="n"/>
      <c r="H149" s="404" t="n"/>
      <c r="I149" s="308" t="n"/>
    </row>
    <row r="150" ht="26" customHeight="1">
      <c r="A150" s="308" t="n"/>
      <c r="B150" s="410" t="n"/>
      <c r="C150" s="308" t="n"/>
      <c r="D150" s="308" t="n"/>
      <c r="E150" s="403" t="n"/>
      <c r="F150" s="308" t="n"/>
      <c r="G150" s="308" t="n"/>
      <c r="H150" s="404" t="n"/>
      <c r="I150" s="308" t="n"/>
    </row>
    <row r="151" ht="26" customHeight="1">
      <c r="A151" s="308" t="n"/>
      <c r="B151" s="410" t="n"/>
      <c r="C151" s="308" t="n"/>
      <c r="D151" s="308" t="n"/>
      <c r="E151" s="403" t="n"/>
      <c r="F151" s="308" t="n"/>
      <c r="G151" s="308" t="n"/>
      <c r="H151" s="404" t="n"/>
      <c r="I151" s="308" t="n"/>
    </row>
    <row r="152" ht="26" customHeight="1">
      <c r="A152" s="308" t="n"/>
      <c r="B152" s="410" t="n"/>
      <c r="C152" s="308" t="n"/>
      <c r="D152" s="308" t="n"/>
      <c r="E152" s="403" t="n"/>
      <c r="F152" s="308" t="n"/>
      <c r="G152" s="308" t="n"/>
      <c r="H152" s="404" t="n"/>
      <c r="I152" s="308" t="n"/>
    </row>
    <row r="153" ht="26" customHeight="1">
      <c r="A153" s="308" t="n"/>
      <c r="B153" s="410" t="n"/>
      <c r="C153" s="308" t="n"/>
      <c r="D153" s="308" t="n"/>
      <c r="E153" s="403" t="n"/>
      <c r="F153" s="308" t="n"/>
      <c r="G153" s="308" t="n"/>
      <c r="H153" s="404" t="n"/>
      <c r="I153" s="308" t="n"/>
    </row>
    <row r="154" ht="26" customHeight="1">
      <c r="A154" s="308" t="n"/>
      <c r="B154" s="410" t="n"/>
      <c r="C154" s="308" t="n"/>
      <c r="D154" s="308" t="n"/>
      <c r="E154" s="403" t="n"/>
      <c r="F154" s="308" t="n"/>
      <c r="G154" s="308" t="n"/>
      <c r="H154" s="404" t="n"/>
      <c r="I154" s="308" t="n"/>
    </row>
    <row r="155" ht="26" customHeight="1">
      <c r="A155" s="308" t="n"/>
      <c r="B155" s="410" t="n"/>
      <c r="C155" s="308" t="n"/>
      <c r="D155" s="308" t="n"/>
      <c r="E155" s="403" t="n"/>
      <c r="F155" s="308" t="n"/>
      <c r="G155" s="308" t="n"/>
      <c r="H155" s="404" t="n"/>
      <c r="I155" s="308" t="n"/>
    </row>
    <row r="156" ht="26" customHeight="1">
      <c r="A156" s="308" t="n"/>
      <c r="B156" s="410" t="n"/>
      <c r="C156" s="308" t="n"/>
      <c r="D156" s="308" t="n"/>
      <c r="E156" s="403" t="n"/>
      <c r="F156" s="308" t="n"/>
      <c r="G156" s="308" t="n"/>
      <c r="H156" s="404" t="n"/>
      <c r="I156" s="308" t="n"/>
    </row>
    <row r="157" ht="26" customHeight="1">
      <c r="A157" s="308" t="n"/>
      <c r="B157" s="410" t="n"/>
      <c r="C157" s="308" t="n"/>
      <c r="D157" s="308" t="n"/>
      <c r="E157" s="403" t="n"/>
      <c r="F157" s="308" t="n"/>
      <c r="G157" s="308" t="n"/>
      <c r="H157" s="404" t="n"/>
      <c r="I157" s="308" t="n"/>
    </row>
    <row r="158" ht="26" customHeight="1">
      <c r="A158" s="308" t="n"/>
      <c r="B158" s="410" t="n"/>
      <c r="C158" s="308" t="n"/>
      <c r="D158" s="308" t="n"/>
      <c r="E158" s="403" t="n"/>
      <c r="F158" s="308" t="n"/>
      <c r="G158" s="308" t="n"/>
      <c r="H158" s="404" t="n"/>
      <c r="I158" s="308" t="n"/>
    </row>
    <row r="159" ht="26" customHeight="1">
      <c r="A159" s="308" t="n"/>
      <c r="B159" s="410" t="n"/>
      <c r="C159" s="308" t="n"/>
      <c r="D159" s="308" t="n"/>
      <c r="E159" s="403" t="n"/>
      <c r="F159" s="308" t="n"/>
      <c r="G159" s="308" t="n"/>
      <c r="H159" s="404" t="n"/>
      <c r="I159" s="308" t="n"/>
    </row>
    <row r="160" ht="26" customHeight="1">
      <c r="A160" s="308" t="n"/>
      <c r="B160" s="410" t="n"/>
      <c r="C160" s="308" t="n"/>
      <c r="D160" s="308" t="n"/>
      <c r="E160" s="403" t="n"/>
      <c r="F160" s="308" t="n"/>
      <c r="G160" s="308" t="n"/>
      <c r="H160" s="404" t="n"/>
      <c r="I160" s="308" t="n"/>
    </row>
    <row r="161" ht="26" customHeight="1">
      <c r="A161" s="308" t="n"/>
      <c r="B161" s="410" t="n"/>
      <c r="C161" s="308" t="n"/>
      <c r="D161" s="308" t="n"/>
      <c r="E161" s="403" t="n"/>
      <c r="F161" s="308" t="n"/>
      <c r="G161" s="308" t="n"/>
      <c r="H161" s="404" t="n"/>
      <c r="I161" s="308" t="n"/>
    </row>
    <row r="162" ht="26" customHeight="1">
      <c r="A162" s="308" t="n"/>
      <c r="B162" s="410" t="n"/>
      <c r="C162" s="308" t="n"/>
      <c r="D162" s="308" t="n"/>
      <c r="E162" s="403" t="n"/>
      <c r="F162" s="308" t="n"/>
      <c r="G162" s="308" t="n"/>
      <c r="H162" s="404" t="n"/>
      <c r="I162" s="308" t="n"/>
    </row>
    <row r="163" ht="26" customHeight="1">
      <c r="A163" s="308" t="n"/>
      <c r="B163" s="410" t="n"/>
      <c r="C163" s="308" t="n"/>
      <c r="D163" s="308" t="n"/>
      <c r="E163" s="403" t="n"/>
      <c r="F163" s="308" t="n"/>
      <c r="G163" s="308" t="n"/>
      <c r="H163" s="404" t="n"/>
      <c r="I163" s="308" t="n"/>
    </row>
    <row r="164" ht="26" customHeight="1">
      <c r="A164" s="308" t="n"/>
      <c r="B164" s="410" t="n"/>
      <c r="C164" s="308" t="n"/>
      <c r="D164" s="308" t="n"/>
      <c r="E164" s="403" t="n"/>
      <c r="F164" s="308" t="n"/>
      <c r="G164" s="308" t="n"/>
      <c r="H164" s="404" t="n"/>
      <c r="I164" s="308" t="n"/>
    </row>
    <row r="165" ht="26" customHeight="1">
      <c r="A165" s="308" t="n"/>
      <c r="B165" s="410" t="n"/>
      <c r="C165" s="308" t="n"/>
      <c r="D165" s="308" t="n"/>
      <c r="E165" s="403" t="n"/>
      <c r="F165" s="308" t="n"/>
      <c r="G165" s="308" t="n"/>
      <c r="H165" s="404" t="n"/>
      <c r="I165" s="308" t="n"/>
    </row>
    <row r="166" ht="26" customHeight="1">
      <c r="A166" s="308" t="n"/>
      <c r="B166" s="410" t="n"/>
      <c r="C166" s="308" t="n"/>
      <c r="D166" s="308" t="n"/>
      <c r="E166" s="403" t="n"/>
      <c r="F166" s="308" t="n"/>
      <c r="G166" s="308" t="n"/>
      <c r="H166" s="404" t="n"/>
      <c r="I166" s="308" t="n"/>
    </row>
    <row r="167" ht="26" customHeight="1">
      <c r="A167" s="308" t="n"/>
      <c r="B167" s="410" t="n"/>
      <c r="C167" s="308" t="n"/>
      <c r="D167" s="308" t="n"/>
      <c r="E167" s="403" t="n"/>
      <c r="F167" s="308" t="n"/>
      <c r="G167" s="308" t="n"/>
      <c r="H167" s="404" t="n"/>
      <c r="I167" s="308" t="n"/>
    </row>
    <row r="168" ht="26" customHeight="1">
      <c r="A168" s="308" t="n"/>
      <c r="B168" s="410" t="n"/>
      <c r="C168" s="308" t="n"/>
      <c r="D168" s="308" t="n"/>
      <c r="E168" s="403" t="n"/>
      <c r="F168" s="308" t="n"/>
      <c r="G168" s="308" t="n"/>
      <c r="H168" s="404" t="n"/>
      <c r="I168" s="308" t="n"/>
    </row>
    <row r="169" ht="26" customHeight="1">
      <c r="A169" s="308" t="n"/>
      <c r="B169" s="410" t="n"/>
      <c r="C169" s="308" t="n"/>
      <c r="D169" s="308" t="n"/>
      <c r="E169" s="403" t="n"/>
      <c r="F169" s="308" t="n"/>
      <c r="G169" s="308" t="n"/>
      <c r="H169" s="404" t="n"/>
      <c r="I169" s="308" t="n"/>
    </row>
    <row r="170" ht="26" customHeight="1">
      <c r="A170" s="308" t="n"/>
      <c r="B170" s="410" t="n"/>
      <c r="C170" s="308" t="n"/>
      <c r="D170" s="308" t="n"/>
      <c r="E170" s="403" t="n"/>
      <c r="F170" s="308" t="n"/>
      <c r="G170" s="308" t="n"/>
      <c r="H170" s="404" t="n"/>
      <c r="I170" s="308" t="n"/>
    </row>
    <row r="171" ht="26" customHeight="1">
      <c r="A171" s="308" t="n"/>
      <c r="B171" s="410" t="n"/>
      <c r="C171" s="308" t="n"/>
      <c r="D171" s="308" t="n"/>
      <c r="E171" s="403" t="n"/>
      <c r="F171" s="308" t="n"/>
      <c r="G171" s="308" t="n"/>
      <c r="H171" s="404" t="n"/>
      <c r="I171" s="308" t="n"/>
    </row>
    <row r="172" ht="26" customHeight="1">
      <c r="A172" s="308" t="n"/>
      <c r="B172" s="410" t="n"/>
      <c r="C172" s="308" t="n"/>
      <c r="D172" s="308" t="n"/>
      <c r="E172" s="403" t="n"/>
      <c r="F172" s="308" t="n"/>
      <c r="G172" s="308" t="n"/>
      <c r="H172" s="404" t="n"/>
      <c r="I172" s="308" t="n"/>
    </row>
  </sheetData>
  <mergeCells count="25">
    <mergeCell ref="K16:L16"/>
    <mergeCell ref="B3:B4"/>
    <mergeCell ref="K15:L15"/>
    <mergeCell ref="K9:L9"/>
    <mergeCell ref="K5:L5"/>
    <mergeCell ref="F3:H3"/>
    <mergeCell ref="K21:L21"/>
    <mergeCell ref="K11:L11"/>
    <mergeCell ref="K20:L20"/>
    <mergeCell ref="A3:A4"/>
    <mergeCell ref="I3:I4"/>
    <mergeCell ref="K22:L22"/>
    <mergeCell ref="K3:L4"/>
    <mergeCell ref="K12:L12"/>
    <mergeCell ref="K8:L8"/>
    <mergeCell ref="C3:E3"/>
    <mergeCell ref="K14:L14"/>
    <mergeCell ref="K17:L17"/>
    <mergeCell ref="K7:L7"/>
    <mergeCell ref="A1:L1"/>
    <mergeCell ref="K10:L10"/>
    <mergeCell ref="K19:L19"/>
    <mergeCell ref="K6:L6"/>
    <mergeCell ref="K13:L13"/>
    <mergeCell ref="K18:L18"/>
  </mergeCells>
  <dataValidations count="2">
    <dataValidation sqref="K5:L5" showDropDown="0" showInputMessage="1" showErrorMessage="1" allowBlank="1" type="list">
      <formula1>"1,2,3,4,5,6,7,8,9,10,11,12"</formula1>
    </dataValidation>
    <dataValidation sqref="K3:L4" showDropDown="0" showInputMessage="1" showErrorMessage="1" allowBlank="1" type="list">
      <formula1>"2018,2019,2020,2021,2022,2023,2024,2025,2026,2027,2028,2029,2030,2031,2032,2033,2034,2035"</formula1>
    </dataValidation>
  </dataValidations>
  <pageMargins left="0.472222222222222" right="0.472222222222222" top="0.472222222222222" bottom="0.432638888888889" header="0.472222222222222" footer="0.472222222222222"/>
  <pageSetup orientation="landscape" paperSize="9"/>
</worksheet>
</file>

<file path=xl/worksheets/sheet2.xml><?xml version="1.0" encoding="utf-8"?>
<worksheet xmlns="http://schemas.openxmlformats.org/spreadsheetml/2006/main">
  <sheetPr>
    <tabColor theme="4" tint="-0.249977111117893"/>
    <outlinePr summaryBelow="1" summaryRight="1"/>
    <pageSetUpPr fitToPage="1"/>
  </sheetPr>
  <dimension ref="B1:S67"/>
  <sheetViews>
    <sheetView showGridLines="0" workbookViewId="0">
      <pane ySplit="4" topLeftCell="A5" activePane="bottomLeft" state="frozen"/>
      <selection pane="bottomLeft" activeCell="B38" sqref="B38"/>
    </sheetView>
  </sheetViews>
  <sheetFormatPr baseColWidth="10" defaultColWidth="9" defaultRowHeight="17.25" customHeight="1"/>
  <cols>
    <col width="2.1640625" customWidth="1" style="251" min="1" max="1"/>
    <col width="24.6640625" customWidth="1" style="251" min="2" max="2"/>
    <col width="2.83203125" customWidth="1" style="251" min="3" max="3"/>
    <col width="10.1640625" customWidth="1" style="251" min="4" max="16"/>
    <col width="2.83203125" customWidth="1" style="251" min="17" max="17"/>
    <col width="9" customWidth="1" style="251" min="18" max="16384"/>
  </cols>
  <sheetData>
    <row r="1" ht="42" customHeight="1">
      <c r="B1" s="252" t="inlineStr">
        <is>
          <t>现金流量表</t>
        </is>
      </c>
      <c r="C1" s="253" t="n"/>
      <c r="D1" s="253" t="n"/>
      <c r="E1" s="254" t="n"/>
      <c r="F1" s="253" t="n"/>
      <c r="G1" s="253" t="n"/>
      <c r="H1" s="253" t="n"/>
      <c r="I1" s="253" t="n"/>
      <c r="J1" s="253" t="n"/>
      <c r="K1" s="253" t="n"/>
      <c r="L1" s="253" t="n"/>
      <c r="M1" s="253" t="n"/>
      <c r="N1" s="253" t="n"/>
      <c r="O1" s="253" t="n"/>
      <c r="P1" s="253" t="n"/>
      <c r="Q1" s="253" t="n"/>
      <c r="R1" s="253" t="n"/>
      <c r="S1" s="253" t="n"/>
    </row>
    <row r="2" ht="22.5" customHeight="1">
      <c r="Q2" s="282" t="n"/>
    </row>
    <row r="3" ht="25.5" customHeight="1">
      <c r="B3" s="255" t="inlineStr">
        <is>
          <t>会计年度起始于:</t>
        </is>
      </c>
      <c r="D3" s="256" t="inlineStr">
        <is>
          <t>（预）启动</t>
        </is>
      </c>
      <c r="E3" s="416">
        <f>UPPER(TEXT(FiscalYearStartDate,"M 月"))</f>
        <v/>
      </c>
      <c r="F3" s="416">
        <f>UPPER(TEXT(EOMONTH(FiscalYearStartDate,1),"M 月"))</f>
        <v/>
      </c>
      <c r="G3" s="416">
        <f>UPPER(TEXT(EOMONTH(FiscalYearStartDate,2),"M 月"))</f>
        <v/>
      </c>
      <c r="H3" s="416">
        <f>UPPER(TEXT(EOMONTH(FiscalYearStartDate,3),"M 月"))</f>
        <v/>
      </c>
      <c r="I3" s="416">
        <f>UPPER(TEXT(EOMONTH(FiscalYearStartDate,4),"M 月"))</f>
        <v/>
      </c>
      <c r="J3" s="416">
        <f>UPPER(TEXT(EOMONTH(FiscalYearStartDate,5),"M 月"))</f>
        <v/>
      </c>
      <c r="K3" s="416">
        <f>UPPER(TEXT(EOMONTH(FiscalYearStartDate,6),"M 月"))</f>
        <v/>
      </c>
      <c r="L3" s="416">
        <f>UPPER(TEXT(EOMONTH(FiscalYearStartDate,7),"M 月"))</f>
        <v/>
      </c>
      <c r="M3" s="416">
        <f>UPPER(TEXT(EOMONTH(FiscalYearStartDate,8),"M 月"))</f>
        <v/>
      </c>
      <c r="N3" s="416">
        <f>UPPER(TEXT(EOMONTH(FiscalYearStartDate,9),"M 月"))</f>
        <v/>
      </c>
      <c r="O3" s="416">
        <f>UPPER(TEXT(EOMONTH(FiscalYearStartDate,10),"M 月"))</f>
        <v/>
      </c>
      <c r="P3" s="416">
        <f>UPPER(TEXT(EOMONTH(FiscalYearStartDate,11),"M 月"))</f>
        <v/>
      </c>
      <c r="Q3" s="417" t="n"/>
      <c r="R3" s="284" t="inlineStr">
        <is>
          <t>总计</t>
        </is>
      </c>
    </row>
    <row r="4" ht="14.25" customHeight="1">
      <c r="B4" s="258" t="n">
        <v>45658</v>
      </c>
      <c r="D4" s="259" t="inlineStr">
        <is>
          <t>EST</t>
        </is>
      </c>
      <c r="E4" s="418">
        <f>FiscalYearStartDate</f>
        <v/>
      </c>
      <c r="F4" s="418">
        <f>EOMONTH(E4,0)+DAY(FiscalYearStartDate)</f>
        <v/>
      </c>
      <c r="G4" s="418">
        <f>EOMONTH(F4,0)+DAY(FiscalYearStartDate)</f>
        <v/>
      </c>
      <c r="H4" s="418">
        <f>EOMONTH(G4,0)+DAY(FiscalYearStartDate)</f>
        <v/>
      </c>
      <c r="I4" s="418">
        <f>EOMONTH(H4,0)+DAY(FiscalYearStartDate)</f>
        <v/>
      </c>
      <c r="J4" s="418">
        <f>EOMONTH(I4,0)+DAY(FiscalYearStartDate)</f>
        <v/>
      </c>
      <c r="K4" s="418">
        <f>EOMONTH(J4,0)+DAY(FiscalYearStartDate)</f>
        <v/>
      </c>
      <c r="L4" s="418">
        <f>EOMONTH(K4,0)+DAY(FiscalYearStartDate)</f>
        <v/>
      </c>
      <c r="M4" s="418">
        <f>EOMONTH(L4,0)+DAY(FiscalYearStartDate)</f>
        <v/>
      </c>
      <c r="N4" s="418">
        <f>EOMONTH(M4,0)+DAY(FiscalYearStartDate)</f>
        <v/>
      </c>
      <c r="O4" s="418">
        <f>EOMONTH(N4,0)+DAY(FiscalYearStartDate)</f>
        <v/>
      </c>
      <c r="P4" s="418">
        <f>EOMONTH(O4,0)+DAY(FiscalYearStartDate)</f>
        <v/>
      </c>
      <c r="Q4" s="419" t="n"/>
      <c r="R4" s="256" t="inlineStr">
        <is>
          <t>项目 EST</t>
        </is>
      </c>
    </row>
    <row r="5" ht="17.25" customHeight="1">
      <c r="B5" s="258" t="n"/>
      <c r="D5" s="261" t="n"/>
      <c r="E5" s="420" t="n"/>
      <c r="F5" s="420" t="n"/>
      <c r="G5" s="420" t="n"/>
      <c r="H5" s="420" t="n"/>
      <c r="I5" s="420" t="n"/>
      <c r="J5" s="420" t="n"/>
      <c r="K5" s="420" t="n"/>
      <c r="L5" s="420" t="n"/>
      <c r="M5" s="420" t="n"/>
      <c r="N5" s="420" t="n"/>
      <c r="O5" s="420" t="n"/>
      <c r="P5" s="420" t="n"/>
      <c r="Q5" s="421" t="n"/>
      <c r="R5" s="287" t="n"/>
    </row>
    <row r="6" ht="17.25" customHeight="1">
      <c r="B6" s="422" t="inlineStr">
        <is>
          <t>库存现金 (月初)</t>
        </is>
      </c>
      <c r="D6" s="423" t="n">
        <v>0</v>
      </c>
      <c r="E6" s="423">
        <f>D67</f>
        <v/>
      </c>
      <c r="F6" s="423">
        <f>E67</f>
        <v/>
      </c>
      <c r="G6" s="423">
        <f>F67</f>
        <v/>
      </c>
      <c r="H6" s="423">
        <f>G67</f>
        <v/>
      </c>
      <c r="I6" s="423">
        <f>H67</f>
        <v/>
      </c>
      <c r="J6" s="423">
        <f>I67</f>
        <v/>
      </c>
      <c r="K6" s="423">
        <f>J67</f>
        <v/>
      </c>
      <c r="L6" s="423">
        <f>K67</f>
        <v/>
      </c>
      <c r="M6" s="423">
        <f>L67</f>
        <v/>
      </c>
      <c r="N6" s="423">
        <f>M67</f>
        <v/>
      </c>
      <c r="O6" s="423">
        <f>N67</f>
        <v/>
      </c>
      <c r="P6" s="423">
        <f>O67</f>
        <v/>
      </c>
      <c r="Q6" s="424" t="n"/>
      <c r="R6" s="423">
        <f>P6</f>
        <v/>
      </c>
      <c r="S6" s="289" t="n"/>
    </row>
    <row r="7" ht="17.25" customHeight="1">
      <c r="Q7" s="267" t="n"/>
    </row>
    <row r="8" ht="17.25" customHeight="1">
      <c r="B8" s="265" t="inlineStr">
        <is>
          <t>银行卡收入</t>
        </is>
      </c>
      <c r="Q8" s="267" t="n"/>
    </row>
    <row r="9" ht="17.25" customHeight="1">
      <c r="B9" s="425" t="inlineStr">
        <is>
          <t>薪酬</t>
        </is>
      </c>
      <c r="C9" s="267" t="n"/>
      <c r="D9" s="426" t="n"/>
      <c r="E9" s="426" t="n"/>
      <c r="F9" s="426" t="n"/>
      <c r="G9" s="426" t="n"/>
      <c r="H9" s="426" t="n"/>
      <c r="I9" s="426" t="n"/>
      <c r="J9" s="426" t="n"/>
      <c r="K9" s="426" t="n"/>
      <c r="L9" s="426" t="n"/>
      <c r="M9" s="426" t="n"/>
      <c r="N9" s="426" t="n"/>
      <c r="O9" s="426" t="n"/>
      <c r="P9" s="426" t="n"/>
      <c r="Q9" s="427" t="n"/>
      <c r="R9" s="428">
        <f>SUM(CashReceipts[[#This Row],[Period 0]:[Period 12]])</f>
        <v/>
      </c>
    </row>
    <row r="10" ht="17.25" customHeight="1">
      <c r="B10" s="425" t="inlineStr">
        <is>
          <t>报销</t>
        </is>
      </c>
      <c r="C10" s="267" t="n"/>
      <c r="D10" s="426" t="n"/>
      <c r="E10" s="426" t="n"/>
      <c r="F10" s="426" t="n"/>
      <c r="G10" s="426" t="n"/>
      <c r="H10" s="426" t="n"/>
      <c r="I10" s="426" t="n"/>
      <c r="J10" s="426" t="n"/>
      <c r="K10" s="426" t="n"/>
      <c r="L10" s="426" t="n"/>
      <c r="M10" s="426" t="n"/>
      <c r="N10" s="426" t="n"/>
      <c r="O10" s="426" t="n"/>
      <c r="P10" s="426" t="n"/>
      <c r="Q10" s="427" t="n"/>
      <c r="R10" s="428">
        <f>SUM(CashReceipts[[#This Row],[Period 0]:[Period 12]])</f>
        <v/>
      </c>
    </row>
    <row r="11" ht="17.25" customHeight="1">
      <c r="B11" s="429" t="inlineStr">
        <is>
          <t>贷款/其他现金投入</t>
        </is>
      </c>
      <c r="C11" s="267" t="n"/>
      <c r="D11" s="426" t="n"/>
      <c r="E11" s="426" t="n"/>
      <c r="F11" s="426" t="n"/>
      <c r="G11" s="426" t="n"/>
      <c r="H11" s="426" t="n">
        <v>30000</v>
      </c>
      <c r="I11" s="426" t="n"/>
      <c r="J11" s="426" t="n"/>
      <c r="K11" s="426" t="n"/>
      <c r="L11" s="426" t="n"/>
      <c r="M11" s="426" t="n"/>
      <c r="N11" s="426" t="n"/>
      <c r="O11" s="426" t="n"/>
      <c r="P11" s="426" t="n"/>
      <c r="Q11" s="427" t="n"/>
      <c r="R11" s="428">
        <f>SUM(CashReceipts[[#This Row],[Period 0]:[Period 12]])</f>
        <v/>
      </c>
    </row>
    <row r="12" ht="17.25" customHeight="1">
      <c r="B12" s="425" t="inlineStr">
        <is>
          <t>资金周转</t>
        </is>
      </c>
      <c r="C12" s="269" t="n"/>
      <c r="D12" s="426" t="n"/>
      <c r="E12" s="426" t="n"/>
      <c r="F12" s="426" t="n"/>
      <c r="G12" s="426" t="n"/>
      <c r="H12" s="426" t="n"/>
      <c r="I12" s="426" t="n"/>
      <c r="J12" s="426" t="n"/>
      <c r="K12" s="426" t="n"/>
      <c r="L12" s="426" t="n"/>
      <c r="M12" s="426" t="n"/>
      <c r="N12" s="426" t="n"/>
      <c r="O12" s="426" t="n"/>
      <c r="P12" s="426" t="n"/>
      <c r="Q12" s="427" t="n"/>
      <c r="R12" s="428">
        <f>SUM(CashReceipts[[#This Row],[Period 0]:[Period 12]])</f>
        <v/>
      </c>
    </row>
    <row r="13" ht="17.25" customHeight="1">
      <c r="B13" s="425" t="inlineStr">
        <is>
          <t>退款</t>
        </is>
      </c>
      <c r="C13" s="267" t="n"/>
      <c r="D13" s="426" t="n"/>
      <c r="E13" s="426" t="n"/>
      <c r="F13" s="426" t="n"/>
      <c r="G13" s="426" t="n"/>
      <c r="H13" s="426" t="n"/>
      <c r="I13" s="426" t="n"/>
      <c r="J13" s="426" t="n"/>
      <c r="K13" s="426" t="n"/>
      <c r="L13" s="426" t="n"/>
      <c r="M13" s="426" t="n"/>
      <c r="N13" s="426" t="n"/>
      <c r="O13" s="426" t="n"/>
      <c r="P13" s="426" t="n"/>
      <c r="Q13" s="427" t="n"/>
      <c r="R13" s="428">
        <f>SUM(CashReceipts[[#This Row],[Period 0]:[Period 12]])</f>
        <v/>
      </c>
    </row>
    <row r="14" ht="17.25" customHeight="1">
      <c r="B14" s="425" t="inlineStr">
        <is>
          <t>投资收益</t>
        </is>
      </c>
      <c r="C14" s="267" t="n"/>
      <c r="D14" s="426" t="n"/>
      <c r="E14" s="426" t="n"/>
      <c r="F14" s="426" t="n"/>
      <c r="G14" s="426" t="n"/>
      <c r="H14" s="426" t="n"/>
      <c r="I14" s="426" t="n"/>
      <c r="J14" s="426" t="n"/>
      <c r="K14" s="426" t="n"/>
      <c r="L14" s="426" t="n"/>
      <c r="M14" s="426" t="n"/>
      <c r="N14" s="426" t="n"/>
      <c r="O14" s="426" t="n"/>
      <c r="P14" s="426" t="n"/>
      <c r="Q14" s="427" t="n"/>
      <c r="R14" s="428">
        <f>SUM(CashReceipts[[#This Row],[Period 0]:[Period 12]])</f>
        <v/>
      </c>
    </row>
    <row r="15" ht="17.25" customHeight="1">
      <c r="B15" s="430" t="inlineStr">
        <is>
          <t>总计</t>
        </is>
      </c>
      <c r="C15" s="271" t="n"/>
      <c r="D15" s="431" t="n"/>
      <c r="E15" s="431">
        <f>SUBTOTAL(109,CashReceipts[Period 1])</f>
        <v/>
      </c>
      <c r="F15" s="431">
        <f>SUBTOTAL(109,CashReceipts[Period 2])</f>
        <v/>
      </c>
      <c r="G15" s="431">
        <f>SUBTOTAL(109,CashReceipts[Period 3])</f>
        <v/>
      </c>
      <c r="H15" s="431">
        <f>SUBTOTAL(109,CashReceipts[Period 4])</f>
        <v/>
      </c>
      <c r="I15" s="431">
        <f>SUBTOTAL(109,CashReceipts[Period 5])</f>
        <v/>
      </c>
      <c r="J15" s="431">
        <f>SUBTOTAL(109,CashReceipts[Period 6])</f>
        <v/>
      </c>
      <c r="K15" s="431">
        <f>SUBTOTAL(109,CashReceipts[Period 7])</f>
        <v/>
      </c>
      <c r="L15" s="431">
        <f>SUBTOTAL(109,CashReceipts[Period 8])</f>
        <v/>
      </c>
      <c r="M15" s="431">
        <f>SUBTOTAL(109,CashReceipts[Period 9])</f>
        <v/>
      </c>
      <c r="N15" s="431">
        <f>SUBTOTAL(109,CashReceipts[Period 10])</f>
        <v/>
      </c>
      <c r="O15" s="431">
        <f>SUBTOTAL(109,CashReceipts[Period 11])</f>
        <v/>
      </c>
      <c r="P15" s="431">
        <f>SUBTOTAL(109,CashReceipts[Period 12])</f>
        <v/>
      </c>
      <c r="Q15" s="432" t="n"/>
      <c r="R15" s="431">
        <f>SUBTOTAL(109,CashReceipts[Total])</f>
        <v/>
      </c>
      <c r="S15" s="292" t="n"/>
    </row>
    <row r="16" ht="17.25" customHeight="1">
      <c r="B16" s="433" t="inlineStr">
        <is>
          <t>总可用现金（现金支出前）</t>
        </is>
      </c>
      <c r="C16" s="274" t="n"/>
      <c r="D16" s="434">
        <f>D6+SUM(CashReceipts[Period 0])</f>
        <v/>
      </c>
      <c r="E16" s="434">
        <f>E6+SUM(CashReceipts[Period 1])</f>
        <v/>
      </c>
      <c r="F16" s="434">
        <f>F6+SUM(CashReceipts[Period 2])</f>
        <v/>
      </c>
      <c r="G16" s="434">
        <f>G6+SUM(CashReceipts[Period 3])</f>
        <v/>
      </c>
      <c r="H16" s="434">
        <f>H6+SUM(CashReceipts[Period 4])</f>
        <v/>
      </c>
      <c r="I16" s="434">
        <f>I6+SUM(CashReceipts[Period 5])</f>
        <v/>
      </c>
      <c r="J16" s="434">
        <f>J6+SUM(CashReceipts[Period 6])</f>
        <v/>
      </c>
      <c r="K16" s="434">
        <f>K6+SUM(CashReceipts[Period 7])</f>
        <v/>
      </c>
      <c r="L16" s="434">
        <f>L6+SUM(CashReceipts[Period 8])</f>
        <v/>
      </c>
      <c r="M16" s="434">
        <f>M6+SUM(CashReceipts[Period 9])</f>
        <v/>
      </c>
      <c r="N16" s="434">
        <f>N6+SUM(CashReceipts[Period 10])</f>
        <v/>
      </c>
      <c r="O16" s="434">
        <f>O6+SUM(CashReceipts[Period 11])</f>
        <v/>
      </c>
      <c r="P16" s="434">
        <f>P6+SUM(CashReceipts[Period 12])</f>
        <v/>
      </c>
      <c r="Q16" s="435" t="n"/>
      <c r="R16" s="434">
        <f>R6+SUM(CashReceipts[Total])</f>
        <v/>
      </c>
      <c r="S16" s="294" t="n"/>
    </row>
    <row r="17" ht="17.25" customHeight="1">
      <c r="B17" s="276" t="n"/>
      <c r="C17" s="274" t="n"/>
      <c r="D17" s="428" t="n"/>
      <c r="E17" s="428" t="n"/>
      <c r="F17" s="428" t="n"/>
      <c r="G17" s="428" t="n"/>
      <c r="H17" s="428" t="n"/>
      <c r="I17" s="428" t="n"/>
      <c r="J17" s="428" t="n"/>
      <c r="K17" s="428" t="n"/>
      <c r="L17" s="428" t="n"/>
      <c r="M17" s="428" t="n"/>
      <c r="N17" s="428" t="n"/>
      <c r="O17" s="428" t="n"/>
      <c r="P17" s="428" t="n"/>
      <c r="Q17" s="427" t="n"/>
      <c r="R17" s="428" t="n"/>
    </row>
    <row r="18" ht="17.25" customHeight="1">
      <c r="B18" s="278" t="inlineStr">
        <is>
          <t>投资</t>
        </is>
      </c>
      <c r="C18" s="274" t="n"/>
      <c r="Q18" s="267" t="n"/>
    </row>
    <row r="19" ht="17.25" customHeight="1">
      <c r="B19" s="279" t="inlineStr">
        <is>
          <t>购买基金</t>
        </is>
      </c>
      <c r="C19" s="267" t="n"/>
      <c r="D19" s="426" t="n"/>
      <c r="E19" s="426" t="n"/>
      <c r="F19" s="426" t="n"/>
      <c r="G19" s="426" t="n"/>
      <c r="H19" s="426" t="n"/>
      <c r="I19" s="426" t="n"/>
      <c r="J19" s="426" t="n"/>
      <c r="K19" s="426" t="n"/>
      <c r="L19" s="426" t="n"/>
      <c r="M19" s="426" t="n"/>
      <c r="N19" s="426" t="n"/>
      <c r="O19" s="426" t="n"/>
      <c r="P19" s="426" t="n"/>
      <c r="Q19" s="427" t="n"/>
      <c r="R19" s="428">
        <f>SUM(CashPaidOut218[[#This Row],[Period 0]:[Period 12]])</f>
        <v/>
      </c>
      <c r="S19" s="295" t="n"/>
    </row>
    <row r="20" ht="17.25" customHeight="1">
      <c r="B20" s="279" t="inlineStr">
        <is>
          <t>即时高风险投资</t>
        </is>
      </c>
      <c r="C20" s="267" t="n"/>
      <c r="D20" s="426" t="n"/>
      <c r="E20" s="426" t="n"/>
      <c r="F20" s="426" t="n"/>
      <c r="G20" s="426" t="n"/>
      <c r="H20" s="426" t="n"/>
      <c r="I20" s="426" t="n"/>
      <c r="J20" s="426" t="n"/>
      <c r="K20" s="426" t="n"/>
      <c r="L20" s="426" t="n"/>
      <c r="M20" s="426" t="n"/>
      <c r="N20" s="426" t="n"/>
      <c r="O20" s="426" t="n"/>
      <c r="P20" s="426" t="n"/>
      <c r="Q20" s="427" t="n"/>
      <c r="R20" s="428">
        <f>SUM(CashPaidOut218[[#This Row],[Period 0]:[Period 12]])</f>
        <v/>
      </c>
      <c r="S20" s="295" t="n"/>
    </row>
    <row r="21" ht="17.25" customHeight="1">
      <c r="B21" s="279" t="inlineStr">
        <is>
          <t>其他启动费用</t>
        </is>
      </c>
      <c r="C21" s="267" t="n"/>
      <c r="D21" s="426" t="n"/>
      <c r="E21" s="426" t="n"/>
      <c r="F21" s="426" t="n"/>
      <c r="G21" s="426" t="n"/>
      <c r="H21" s="426" t="n"/>
      <c r="I21" s="426" t="n"/>
      <c r="J21" s="426" t="n"/>
      <c r="K21" s="426" t="n"/>
      <c r="L21" s="426" t="n"/>
      <c r="M21" s="426" t="n"/>
      <c r="N21" s="426" t="n"/>
      <c r="O21" s="426" t="n"/>
      <c r="P21" s="426" t="n"/>
      <c r="Q21" s="427" t="n"/>
      <c r="R21" s="428">
        <f>SUM(CashPaidOut218[[#This Row],[Period 0]:[Period 12]])</f>
        <v/>
      </c>
      <c r="S21" s="295" t="n"/>
    </row>
    <row r="22" ht="17.25" customHeight="1">
      <c r="B22" s="279" t="inlineStr">
        <is>
          <t>保留或由第三人保存</t>
        </is>
      </c>
      <c r="C22" s="267" t="n"/>
      <c r="D22" s="426" t="n"/>
      <c r="E22" s="426" t="n"/>
      <c r="F22" s="426" t="n"/>
      <c r="G22" s="426" t="n"/>
      <c r="H22" s="426" t="n"/>
      <c r="I22" s="426" t="n"/>
      <c r="J22" s="426" t="n"/>
      <c r="K22" s="426" t="n"/>
      <c r="L22" s="426" t="n"/>
      <c r="M22" s="426" t="n"/>
      <c r="N22" s="426" t="n"/>
      <c r="O22" s="426" t="n"/>
      <c r="P22" s="426" t="n"/>
      <c r="Q22" s="427" t="n"/>
      <c r="R22" s="428">
        <f>SUM(CashPaidOut218[[#This Row],[Period 0]:[Period 12]])</f>
        <v/>
      </c>
      <c r="S22" s="295" t="n"/>
    </row>
    <row r="23" ht="17.25" customHeight="1">
      <c r="B23" s="279" t="inlineStr">
        <is>
          <t>所有者提款</t>
        </is>
      </c>
      <c r="C23" s="267" t="n"/>
      <c r="D23" s="426" t="n"/>
      <c r="E23" s="426" t="n"/>
      <c r="F23" s="426" t="n"/>
      <c r="G23" s="426" t="n"/>
      <c r="H23" s="426" t="n"/>
      <c r="I23" s="426" t="n"/>
      <c r="J23" s="426" t="n"/>
      <c r="K23" s="426" t="n"/>
      <c r="L23" s="426" t="n"/>
      <c r="M23" s="426" t="n"/>
      <c r="N23" s="426" t="n"/>
      <c r="O23" s="426" t="n"/>
      <c r="P23" s="426" t="n"/>
      <c r="Q23" s="427" t="n"/>
      <c r="R23" s="428">
        <f>SUM(CashPaidOut218[[#This Row],[Period 0]:[Period 12]])</f>
        <v/>
      </c>
      <c r="S23" s="295" t="n"/>
    </row>
    <row r="24" ht="17.25" customHeight="1">
      <c r="B24" s="280" t="inlineStr">
        <is>
          <t>总计</t>
        </is>
      </c>
      <c r="C24" s="281" t="n"/>
      <c r="D24" s="431">
        <f>SUBTOTAL(109,CashPaidOut218[Period 0])</f>
        <v/>
      </c>
      <c r="E24" s="431">
        <f>SUBTOTAL(109,CashPaidOut218[Period 1])</f>
        <v/>
      </c>
      <c r="F24" s="431">
        <f>SUBTOTAL(109,CashPaidOut218[Period 2])</f>
        <v/>
      </c>
      <c r="G24" s="431">
        <f>SUBTOTAL(109,CashPaidOut218[Period 3])</f>
        <v/>
      </c>
      <c r="H24" s="431">
        <f>SUBTOTAL(109,CashPaidOut218[Period 4])</f>
        <v/>
      </c>
      <c r="I24" s="431">
        <f>SUBTOTAL(109,CashPaidOut218[Period 5])</f>
        <v/>
      </c>
      <c r="J24" s="431">
        <f>SUBTOTAL(109,CashPaidOut218[Period 6])</f>
        <v/>
      </c>
      <c r="K24" s="431">
        <f>SUBTOTAL(109,CashPaidOut218[Period 7])</f>
        <v/>
      </c>
      <c r="L24" s="431">
        <f>SUBTOTAL(109,CashPaidOut218[Period 8])</f>
        <v/>
      </c>
      <c r="M24" s="431">
        <f>SUBTOTAL(109,CashPaidOut218[Period 9])</f>
        <v/>
      </c>
      <c r="N24" s="431">
        <f>SUBTOTAL(109,CashPaidOut218[Period 10])</f>
        <v/>
      </c>
      <c r="O24" s="431">
        <f>SUBTOTAL(109,CashPaidOut218[Period 11])</f>
        <v/>
      </c>
      <c r="P24" s="431">
        <f>SUBTOTAL(109,CashPaidOut218[Period 12])</f>
        <v/>
      </c>
      <c r="Q24" s="432" t="n"/>
      <c r="R24" s="431">
        <f>SUBTOTAL(109,CashPaidOut218[Total])</f>
        <v/>
      </c>
      <c r="S24" s="296" t="n"/>
    </row>
    <row r="25" ht="17.25" customHeight="1">
      <c r="B25" s="351" t="n"/>
    </row>
    <row r="26" ht="17.25" customHeight="1">
      <c r="B26" s="278" t="inlineStr">
        <is>
          <t>弹性支出</t>
        </is>
      </c>
      <c r="C26" s="267" t="n"/>
      <c r="Q26" s="267" t="n"/>
    </row>
    <row r="27" ht="17.25" customHeight="1">
      <c r="B27" s="279" t="inlineStr">
        <is>
          <t>汽车，运输及差旅费用</t>
        </is>
      </c>
      <c r="C27" s="267" t="n"/>
      <c r="D27" s="426" t="n"/>
      <c r="E27" s="426" t="n"/>
      <c r="F27" s="426" t="n"/>
      <c r="G27" s="426" t="n"/>
      <c r="H27" s="426" t="n"/>
      <c r="I27" s="426" t="n"/>
      <c r="J27" s="426" t="n"/>
      <c r="K27" s="426" t="n"/>
      <c r="L27" s="426" t="n"/>
      <c r="M27" s="426" t="n"/>
      <c r="N27" s="426" t="n"/>
      <c r="O27" s="426" t="n"/>
      <c r="P27" s="426" t="n"/>
      <c r="Q27" s="297" t="n"/>
      <c r="R27" s="428">
        <f>SUM(CashPaidOut[[#This Row],[Period 0]:[Period 12]])</f>
        <v/>
      </c>
      <c r="S27" s="296" t="n"/>
    </row>
    <row r="28" ht="17.25" customHeight="1">
      <c r="B28" s="279" t="inlineStr">
        <is>
          <t>信用卡</t>
        </is>
      </c>
      <c r="C28" s="267" t="n"/>
      <c r="D28" s="426" t="n"/>
      <c r="E28" s="426" t="n"/>
      <c r="F28" s="426" t="n"/>
      <c r="G28" s="426" t="n"/>
      <c r="H28" s="426" t="n"/>
      <c r="I28" s="426" t="n"/>
      <c r="J28" s="426" t="n"/>
      <c r="K28" s="426" t="n"/>
      <c r="L28" s="426" t="n"/>
      <c r="M28" s="426" t="n"/>
      <c r="N28" s="426" t="n"/>
      <c r="O28" s="426" t="n"/>
      <c r="P28" s="426" t="n"/>
      <c r="Q28" s="297" t="n"/>
      <c r="R28" s="428">
        <f>SUM(CashPaidOut[[#This Row],[Period 0]:[Period 12]])</f>
        <v/>
      </c>
      <c r="S28" s="296" t="n"/>
    </row>
    <row r="29" ht="17.25" customHeight="1">
      <c r="B29" s="279" t="inlineStr">
        <is>
          <t>资金周转</t>
        </is>
      </c>
      <c r="C29" s="267" t="n"/>
      <c r="D29" s="426" t="n"/>
      <c r="E29" s="426" t="n"/>
      <c r="F29" s="426" t="n"/>
      <c r="G29" s="426" t="n"/>
      <c r="H29" s="426" t="n"/>
      <c r="I29" s="426" t="n"/>
      <c r="J29" s="426" t="n"/>
      <c r="K29" s="426" t="n"/>
      <c r="L29" s="426" t="n"/>
      <c r="M29" s="426" t="n"/>
      <c r="N29" s="426" t="n"/>
      <c r="O29" s="426" t="n"/>
      <c r="P29" s="426" t="n"/>
      <c r="Q29" s="297" t="n"/>
      <c r="R29" s="428">
        <f>SUM(CashPaidOut[[#This Row],[Period 0]:[Period 12]])</f>
        <v/>
      </c>
      <c r="S29" s="296" t="n"/>
    </row>
    <row r="30" ht="17.25" customHeight="1">
      <c r="B30" s="279" t="inlineStr">
        <is>
          <t>餐饮</t>
        </is>
      </c>
      <c r="C30" s="267" t="n"/>
      <c r="D30" s="426" t="n"/>
      <c r="E30" s="426" t="n"/>
      <c r="F30" s="426" t="n"/>
      <c r="G30" s="426" t="n"/>
      <c r="H30" s="426" t="n"/>
      <c r="I30" s="426" t="n"/>
      <c r="J30" s="426" t="n"/>
      <c r="K30" s="426" t="n"/>
      <c r="L30" s="426" t="n"/>
      <c r="M30" s="426" t="n"/>
      <c r="N30" s="426" t="n"/>
      <c r="O30" s="426" t="n"/>
      <c r="P30" s="426" t="n"/>
      <c r="Q30" s="297" t="n"/>
      <c r="R30" s="428">
        <f>SUM(CashPaidOut[[#This Row],[Period 0]:[Period 12]])</f>
        <v/>
      </c>
      <c r="S30" s="296" t="n"/>
    </row>
    <row r="31" ht="17.25" customHeight="1">
      <c r="B31" s="279" t="inlineStr">
        <is>
          <t>红包</t>
        </is>
      </c>
      <c r="C31" s="267" t="n"/>
      <c r="D31" s="426" t="n"/>
      <c r="E31" s="426" t="n"/>
      <c r="F31" s="426" t="n"/>
      <c r="G31" s="426" t="n"/>
      <c r="H31" s="426" t="n"/>
      <c r="I31" s="426" t="n"/>
      <c r="J31" s="426" t="n"/>
      <c r="K31" s="426" t="n"/>
      <c r="L31" s="426" t="n"/>
      <c r="M31" s="426" t="n"/>
      <c r="N31" s="426" t="n"/>
      <c r="O31" s="426" t="n"/>
      <c r="P31" s="426" t="n"/>
      <c r="Q31" s="297" t="n"/>
      <c r="R31" s="428">
        <f>SUM(CashPaidOut[[#This Row],[Period 0]:[Period 12]])</f>
        <v/>
      </c>
      <c r="S31" s="296" t="n"/>
    </row>
    <row r="32" ht="17.25" customHeight="1">
      <c r="B32" s="279" t="inlineStr">
        <is>
          <t>购物</t>
        </is>
      </c>
      <c r="C32" s="267" t="n"/>
      <c r="D32" s="426" t="n"/>
      <c r="E32" s="426" t="n"/>
      <c r="F32" s="426" t="n"/>
      <c r="G32" s="426" t="n"/>
      <c r="H32" s="426" t="n"/>
      <c r="I32" s="426" t="n"/>
      <c r="J32" s="426" t="n"/>
      <c r="K32" s="426" t="n"/>
      <c r="L32" s="426" t="n"/>
      <c r="M32" s="426" t="n"/>
      <c r="N32" s="426" t="n"/>
      <c r="O32" s="426" t="n"/>
      <c r="P32" s="426" t="n"/>
      <c r="Q32" s="297" t="n"/>
      <c r="R32" s="428">
        <f>SUM(CashPaidOut[[#This Row],[Period 0]:[Period 12]])</f>
        <v/>
      </c>
      <c r="S32" s="296" t="n"/>
    </row>
    <row r="33" ht="17.25" customHeight="1">
      <c r="B33" s="279" t="inlineStr">
        <is>
          <t>服饰美容</t>
        </is>
      </c>
      <c r="C33" s="267" t="n"/>
      <c r="D33" s="426" t="n"/>
      <c r="E33" s="426" t="n"/>
      <c r="F33" s="426" t="n"/>
      <c r="G33" s="426" t="n"/>
      <c r="H33" s="426" t="n"/>
      <c r="I33" s="426" t="n"/>
      <c r="J33" s="426" t="n"/>
      <c r="K33" s="426" t="n"/>
      <c r="L33" s="426" t="n"/>
      <c r="M33" s="426" t="n"/>
      <c r="N33" s="426" t="n"/>
      <c r="O33" s="426" t="n"/>
      <c r="P33" s="426" t="n"/>
      <c r="Q33" s="297" t="n"/>
      <c r="R33" s="428">
        <f>SUM(CashPaidOut[[#This Row],[Period 0]:[Period 12]])</f>
        <v/>
      </c>
      <c r="S33" s="296" t="n"/>
    </row>
    <row r="34" ht="17.25" customHeight="1">
      <c r="B34" s="279" t="inlineStr">
        <is>
          <t>文体教育</t>
        </is>
      </c>
      <c r="C34" s="267" t="n"/>
      <c r="D34" s="426" t="n"/>
      <c r="E34" s="426" t="n"/>
      <c r="F34" s="426" t="n"/>
      <c r="G34" s="426" t="n"/>
      <c r="H34" s="426" t="n"/>
      <c r="I34" s="426" t="n"/>
      <c r="J34" s="426" t="n"/>
      <c r="K34" s="426" t="n"/>
      <c r="L34" s="426" t="n"/>
      <c r="M34" s="426" t="n"/>
      <c r="N34" s="426" t="n"/>
      <c r="O34" s="426" t="n"/>
      <c r="P34" s="426" t="n"/>
      <c r="Q34" s="297" t="n"/>
      <c r="R34" s="428">
        <f>SUM(CashPaidOut[[#This Row],[Period 0]:[Period 12]])</f>
        <v/>
      </c>
      <c r="S34" s="296" t="n"/>
    </row>
    <row r="35" ht="17.25" customHeight="1">
      <c r="B35" s="279" t="inlineStr">
        <is>
          <t>休闲娱乐</t>
        </is>
      </c>
      <c r="C35" s="267" t="n"/>
      <c r="D35" s="426" t="n"/>
      <c r="E35" s="426" t="n"/>
      <c r="F35" s="426" t="n"/>
      <c r="G35" s="426" t="n"/>
      <c r="H35" s="426" t="n"/>
      <c r="I35" s="426" t="n"/>
      <c r="J35" s="426" t="n"/>
      <c r="K35" s="426" t="n"/>
      <c r="L35" s="426" t="n"/>
      <c r="M35" s="426" t="n"/>
      <c r="N35" s="426" t="n"/>
      <c r="O35" s="426" t="n"/>
      <c r="P35" s="426" t="inlineStr">
        <is>
          <t xml:space="preserve"> </t>
        </is>
      </c>
      <c r="Q35" s="297" t="n"/>
      <c r="R35" s="428">
        <f>SUM(CashPaidOut[[#This Row],[Period 0]:[Period 12]])</f>
        <v/>
      </c>
      <c r="S35" s="296" t="n"/>
    </row>
    <row r="36" ht="17.25" customHeight="1">
      <c r="B36" s="279" t="inlineStr">
        <is>
          <t>生活用品</t>
        </is>
      </c>
      <c r="C36" s="267" t="n"/>
      <c r="D36" s="426" t="n"/>
      <c r="E36" s="426" t="n"/>
      <c r="F36" s="426" t="n"/>
      <c r="G36" s="426" t="n"/>
      <c r="H36" s="426" t="n"/>
      <c r="I36" s="426" t="n"/>
      <c r="J36" s="426" t="n"/>
      <c r="K36" s="426" t="n"/>
      <c r="L36" s="426" t="n"/>
      <c r="M36" s="426" t="n"/>
      <c r="N36" s="426" t="n"/>
      <c r="O36" s="426" t="n"/>
      <c r="P36" s="426" t="n"/>
      <c r="Q36" s="297" t="n"/>
      <c r="R36" s="428">
        <f>SUM(CashPaidOut[[#This Row],[Period 0]:[Period 12]])</f>
        <v/>
      </c>
      <c r="S36" s="296" t="n"/>
    </row>
    <row r="37" ht="17.25" customHeight="1">
      <c r="B37" s="279" t="inlineStr">
        <is>
          <t>宠物</t>
        </is>
      </c>
      <c r="C37" s="267" t="n"/>
      <c r="D37" s="426" t="n"/>
      <c r="E37" s="426" t="n"/>
      <c r="F37" s="426" t="n"/>
      <c r="G37" s="426" t="n"/>
      <c r="H37" s="426" t="n"/>
      <c r="I37" s="426" t="n"/>
      <c r="J37" s="426" t="n"/>
      <c r="K37" s="426" t="n"/>
      <c r="L37" s="426" t="n"/>
      <c r="M37" s="426" t="n"/>
      <c r="N37" s="426" t="n"/>
      <c r="O37" s="426" t="n"/>
      <c r="P37" s="426" t="n"/>
      <c r="Q37" s="297" t="n"/>
      <c r="R37" s="428">
        <f>SUM(CashPaidOut[[#This Row],[Period 0]:[Period 12]])</f>
        <v/>
      </c>
      <c r="S37" s="296" t="n"/>
    </row>
    <row r="38" ht="17.25" customHeight="1">
      <c r="B38" s="321" t="inlineStr">
        <is>
          <t>装修</t>
        </is>
      </c>
      <c r="C38" s="267" t="n"/>
      <c r="D38" s="426" t="n"/>
      <c r="E38" s="426" t="n"/>
      <c r="F38" s="426" t="n"/>
      <c r="G38" s="426" t="n"/>
      <c r="H38" s="426" t="n"/>
      <c r="I38" s="426" t="n"/>
      <c r="J38" s="426" t="n"/>
      <c r="K38" s="426" t="n"/>
      <c r="L38" s="426" t="n"/>
      <c r="M38" s="426" t="n"/>
      <c r="N38" s="426" t="n"/>
      <c r="O38" s="426" t="n"/>
      <c r="P38" s="426" t="n"/>
      <c r="Q38" s="297" t="n"/>
      <c r="R38" s="428">
        <f>SUM(CashPaidOut[[#This Row],[Period 0]:[Period 12]])</f>
        <v/>
      </c>
      <c r="S38" s="296" t="n"/>
    </row>
    <row r="39" ht="17.25" customHeight="1">
      <c r="B39" s="279" t="inlineStr">
        <is>
          <t>充电宝</t>
        </is>
      </c>
      <c r="C39" s="267" t="n"/>
      <c r="D39" s="426" t="n"/>
      <c r="E39" s="426" t="n"/>
      <c r="F39" s="426" t="n"/>
      <c r="G39" s="426" t="n"/>
      <c r="H39" s="426" t="n"/>
      <c r="I39" s="426" t="n"/>
      <c r="J39" s="426" t="n"/>
      <c r="K39" s="426" t="n"/>
      <c r="L39" s="426" t="n"/>
      <c r="M39" s="426" t="n"/>
      <c r="N39" s="426" t="n"/>
      <c r="O39" s="426" t="n"/>
      <c r="P39" s="426" t="n"/>
      <c r="Q39" s="297" t="n"/>
      <c r="R39" s="428">
        <f>SUM(CashPaidOut[[#This Row],[Period 0]:[Period 12]])</f>
        <v/>
      </c>
      <c r="S39" s="296" t="n"/>
    </row>
    <row r="40" ht="17.25" customHeight="1">
      <c r="B40" s="279" t="inlineStr">
        <is>
          <t>护肤化妆品</t>
        </is>
      </c>
      <c r="C40" s="267" t="n"/>
      <c r="D40" s="426" t="n"/>
      <c r="E40" s="426" t="n"/>
      <c r="F40" s="426" t="n"/>
      <c r="G40" s="426" t="n"/>
      <c r="H40" s="426" t="n"/>
      <c r="I40" s="426" t="n"/>
      <c r="J40" s="426" t="n"/>
      <c r="K40" s="426" t="n"/>
      <c r="L40" s="426" t="n"/>
      <c r="M40" s="426" t="n"/>
      <c r="N40" s="426" t="n"/>
      <c r="O40" s="426" t="n"/>
      <c r="P40" s="426" t="n"/>
      <c r="Q40" s="297" t="n"/>
      <c r="R40" s="428">
        <f>SUM(CashPaidOut[[#This Row],[Period 0]:[Period 12]])</f>
        <v/>
      </c>
      <c r="S40" s="296" t="n"/>
    </row>
    <row r="41" ht="17.25" customHeight="1">
      <c r="B41" s="279" t="inlineStr">
        <is>
          <t>电话费</t>
        </is>
      </c>
      <c r="C41" s="267" t="n"/>
      <c r="D41" s="426" t="n"/>
      <c r="E41" s="426" t="n"/>
      <c r="F41" s="426" t="n"/>
      <c r="G41" s="426" t="n"/>
      <c r="H41" s="426" t="n"/>
      <c r="I41" s="426" t="n"/>
      <c r="J41" s="426" t="n"/>
      <c r="K41" s="426" t="n"/>
      <c r="L41" s="426" t="n"/>
      <c r="M41" s="426" t="n"/>
      <c r="N41" s="426" t="n"/>
      <c r="O41" s="426" t="n"/>
      <c r="P41" s="426" t="n"/>
      <c r="Q41" s="297" t="n"/>
      <c r="R41" s="428">
        <f>SUM(CashPaidOut[[#This Row],[Period 0]:[Period 12]])</f>
        <v/>
      </c>
      <c r="S41" s="296" t="n"/>
    </row>
    <row r="42" ht="17.25" customHeight="1">
      <c r="B42" s="279" t="inlineStr">
        <is>
          <t>水电费和采暖费</t>
        </is>
      </c>
      <c r="C42" s="267" t="n"/>
      <c r="D42" s="426" t="n"/>
      <c r="E42" s="426" t="n"/>
      <c r="F42" s="426" t="n"/>
      <c r="G42" s="426" t="n"/>
      <c r="H42" s="426" t="n"/>
      <c r="I42" s="426" t="n"/>
      <c r="J42" s="426" t="n"/>
      <c r="K42" s="426" t="n"/>
      <c r="L42" s="426" t="n"/>
      <c r="M42" s="426" t="n"/>
      <c r="N42" s="426" t="n"/>
      <c r="O42" s="426" t="n"/>
      <c r="P42" s="426" t="n"/>
      <c r="Q42" s="297" t="n"/>
      <c r="R42" s="428">
        <f>SUM(CashPaidOut[[#This Row],[Period 0]:[Period 12]])</f>
        <v/>
      </c>
      <c r="S42" s="296" t="n"/>
    </row>
    <row r="43" ht="17.25" customHeight="1">
      <c r="B43" s="279" t="inlineStr">
        <is>
          <t>保险费</t>
        </is>
      </c>
      <c r="C43" s="267" t="n"/>
      <c r="D43" s="426" t="n"/>
      <c r="E43" s="426" t="n"/>
      <c r="F43" s="426" t="n"/>
      <c r="G43" s="426" t="n"/>
      <c r="H43" s="426" t="n"/>
      <c r="I43" s="426" t="n"/>
      <c r="J43" s="426" t="n"/>
      <c r="K43" s="426" t="n"/>
      <c r="L43" s="426" t="n"/>
      <c r="M43" s="426" t="n"/>
      <c r="N43" s="426" t="n"/>
      <c r="O43" s="426" t="n"/>
      <c r="P43" s="426" t="n"/>
      <c r="Q43" s="297" t="n"/>
      <c r="R43" s="428">
        <f>SUM(CashPaidOut[[#This Row],[Period 0]:[Period 12]])</f>
        <v/>
      </c>
      <c r="S43" s="296" t="n"/>
    </row>
    <row r="44" ht="17.25" customHeight="1">
      <c r="B44" s="279" t="inlineStr">
        <is>
          <t>利息</t>
        </is>
      </c>
      <c r="C44" s="267" t="n"/>
      <c r="D44" s="426" t="n"/>
      <c r="E44" s="426" t="n"/>
      <c r="F44" s="426" t="n"/>
      <c r="G44" s="426" t="n"/>
      <c r="H44" s="426" t="n"/>
      <c r="I44" s="426" t="n"/>
      <c r="J44" s="426" t="n"/>
      <c r="K44" s="426" t="n"/>
      <c r="L44" s="426" t="n"/>
      <c r="M44" s="426" t="n"/>
      <c r="N44" s="426" t="n"/>
      <c r="O44" s="426" t="n"/>
      <c r="P44" s="426" t="n"/>
      <c r="Q44" s="297" t="n"/>
      <c r="R44" s="428">
        <f>SUM(CashPaidOut[[#This Row],[Period 0]:[Period 12]])</f>
        <v/>
      </c>
      <c r="S44" s="296" t="n"/>
    </row>
    <row r="45" ht="17.25" customHeight="1">
      <c r="B45" s="279" t="inlineStr">
        <is>
          <t>杂项</t>
        </is>
      </c>
      <c r="C45" s="267" t="n"/>
      <c r="D45" s="426" t="n"/>
      <c r="E45" s="426" t="n"/>
      <c r="F45" s="426" t="n"/>
      <c r="G45" s="426" t="n"/>
      <c r="H45" s="426" t="n"/>
      <c r="I45" s="426" t="n"/>
      <c r="J45" s="426" t="n"/>
      <c r="K45" s="426" t="n"/>
      <c r="L45" s="426" t="n"/>
      <c r="M45" s="426" t="n"/>
      <c r="N45" s="426" t="n"/>
      <c r="O45" s="426" t="n"/>
      <c r="P45" s="426" t="n"/>
      <c r="Q45" s="297" t="n"/>
      <c r="R45" s="428">
        <f>SUM(CashPaidOut[[#This Row],[Period 0]:[Period 12]])</f>
        <v/>
      </c>
      <c r="S45" s="296" t="n"/>
    </row>
    <row r="46" ht="17.25" customHeight="1">
      <c r="B46" s="279" t="n"/>
      <c r="C46" s="267" t="n"/>
      <c r="D46" s="426" t="n"/>
      <c r="E46" s="426" t="n"/>
      <c r="F46" s="426" t="n"/>
      <c r="G46" s="426" t="n"/>
      <c r="H46" s="426" t="n"/>
      <c r="I46" s="426" t="n"/>
      <c r="J46" s="426" t="n"/>
      <c r="K46" s="426" t="n"/>
      <c r="L46" s="426" t="n"/>
      <c r="M46" s="426" t="n"/>
      <c r="N46" s="426" t="n"/>
      <c r="O46" s="426" t="n"/>
      <c r="P46" s="426" t="n"/>
      <c r="Q46" s="297" t="n"/>
      <c r="R46" s="428">
        <f>SUM(CashPaidOut[[#This Row],[Period 0]:[Period 12]])</f>
        <v/>
      </c>
      <c r="S46" s="296" t="n"/>
    </row>
    <row r="47" ht="17.25" customHeight="1">
      <c r="B47" s="279" t="n"/>
      <c r="C47" s="267" t="n"/>
      <c r="D47" s="426" t="n"/>
      <c r="E47" s="426" t="n"/>
      <c r="F47" s="426" t="n"/>
      <c r="G47" s="426" t="n"/>
      <c r="H47" s="426" t="n"/>
      <c r="I47" s="426" t="n"/>
      <c r="J47" s="426" t="n"/>
      <c r="K47" s="426" t="n"/>
      <c r="L47" s="426" t="n"/>
      <c r="M47" s="426" t="n"/>
      <c r="N47" s="426" t="n"/>
      <c r="O47" s="426" t="n"/>
      <c r="P47" s="426" t="n"/>
      <c r="Q47" s="297" t="n"/>
      <c r="R47" s="428">
        <f>SUM(CashPaidOut[[#This Row],[Period 0]:[Period 12]])</f>
        <v/>
      </c>
      <c r="S47" s="296" t="n"/>
    </row>
    <row r="48" ht="17.25" customHeight="1">
      <c r="B48" s="280" t="inlineStr">
        <is>
          <t>总计</t>
        </is>
      </c>
      <c r="C48" s="281" t="n"/>
      <c r="D48" s="431">
        <f>SUBTOTAL(109,CashPaidOut[Period 0])</f>
        <v/>
      </c>
      <c r="E48" s="431">
        <f>SUBTOTAL(109,CashPaidOut[Period 1])</f>
        <v/>
      </c>
      <c r="F48" s="431">
        <f>SUBTOTAL(109,CashPaidOut[Period 2])</f>
        <v/>
      </c>
      <c r="G48" s="431">
        <f>SUBTOTAL(109,CashPaidOut[Period 3])</f>
        <v/>
      </c>
      <c r="H48" s="431">
        <f>SUBTOTAL(109,CashPaidOut[Period 4])</f>
        <v/>
      </c>
      <c r="I48" s="431">
        <f>SUBTOTAL(109,CashPaidOut[Period 5])</f>
        <v/>
      </c>
      <c r="J48" s="431">
        <f>SUBTOTAL(109,CashPaidOut[Period 6])</f>
        <v/>
      </c>
      <c r="K48" s="431">
        <f>SUBTOTAL(109,CashPaidOut[Period 7])</f>
        <v/>
      </c>
      <c r="L48" s="431">
        <f>SUBTOTAL(109,CashPaidOut[Period 8])</f>
        <v/>
      </c>
      <c r="M48" s="431">
        <f>SUBTOTAL(109,CashPaidOut[Period 9])</f>
        <v/>
      </c>
      <c r="N48" s="431">
        <f>SUBTOTAL(109,CashPaidOut[Period 10])</f>
        <v/>
      </c>
      <c r="O48" s="431">
        <f>SUBTOTAL(109,CashPaidOut[Period 11])</f>
        <v/>
      </c>
      <c r="P48" s="431">
        <f>SUBTOTAL(109,CashPaidOut[Period 12])</f>
        <v/>
      </c>
      <c r="Q48" s="432" t="n"/>
      <c r="R48" s="431">
        <f>SUBTOTAL(109,CashPaidOut[Total])</f>
        <v/>
      </c>
      <c r="S48" s="292" t="n"/>
    </row>
    <row r="49" ht="17.25" customHeight="1">
      <c r="B49" s="276" t="n"/>
      <c r="C49" s="274" t="n"/>
      <c r="D49" s="428" t="n"/>
      <c r="E49" s="428" t="n"/>
      <c r="F49" s="428" t="n"/>
      <c r="G49" s="428" t="n"/>
      <c r="H49" s="428" t="n"/>
      <c r="I49" s="428" t="n"/>
      <c r="J49" s="428" t="n"/>
      <c r="K49" s="428" t="n"/>
      <c r="L49" s="428" t="n"/>
      <c r="M49" s="428" t="n"/>
      <c r="N49" s="428" t="n"/>
      <c r="O49" s="428" t="n"/>
      <c r="P49" s="428" t="n"/>
      <c r="Q49" s="427" t="n"/>
      <c r="R49" s="428" t="n"/>
    </row>
    <row r="50" ht="17.25" customHeight="1">
      <c r="B50" s="278" t="inlineStr">
        <is>
          <t>固定支出</t>
        </is>
      </c>
      <c r="C50" s="274" t="n"/>
      <c r="Q50" s="267" t="n"/>
    </row>
    <row r="51" ht="17.25" customHeight="1">
      <c r="B51" s="321" t="inlineStr">
        <is>
          <t>宽带</t>
        </is>
      </c>
      <c r="C51" s="267" t="n"/>
      <c r="D51" s="426" t="n"/>
      <c r="E51" s="426" t="n"/>
      <c r="F51" s="426" t="n"/>
      <c r="G51" s="426" t="n"/>
      <c r="H51" s="426" t="n"/>
      <c r="I51" s="426" t="n"/>
      <c r="J51" s="426" t="n"/>
      <c r="K51" s="426" t="n"/>
      <c r="L51" s="426" t="n"/>
      <c r="M51" s="426" t="n"/>
      <c r="N51" s="426" t="n"/>
      <c r="O51" s="426" t="n"/>
      <c r="P51" s="426" t="n"/>
      <c r="Q51" s="427" t="n"/>
      <c r="R51" s="428">
        <f>SUM(CashPaidOut2[[#This Row],[Period 0]:[Period 12]])</f>
        <v/>
      </c>
      <c r="S51" s="295" t="n"/>
    </row>
    <row r="52" ht="17.25" customHeight="1">
      <c r="B52" s="321" t="inlineStr">
        <is>
          <t>电话</t>
        </is>
      </c>
      <c r="C52" s="267" t="n"/>
      <c r="D52" s="426" t="n"/>
      <c r="E52" s="426" t="n"/>
      <c r="F52" s="426" t="n"/>
      <c r="G52" s="426" t="n"/>
      <c r="H52" s="426" t="n"/>
      <c r="I52" s="426" t="n"/>
      <c r="J52" s="426" t="n"/>
      <c r="K52" s="426" t="n"/>
      <c r="L52" s="426" t="n"/>
      <c r="M52" s="426" t="n"/>
      <c r="N52" s="426" t="n"/>
      <c r="O52" s="426" t="n"/>
      <c r="P52" s="426" t="n"/>
      <c r="Q52" s="427" t="n"/>
      <c r="R52" s="428">
        <f>SUM(CashPaidOut2[[#This Row],[Period 0]:[Period 12]])</f>
        <v/>
      </c>
      <c r="S52" s="295" t="n"/>
    </row>
    <row r="53" ht="17.25" customHeight="1">
      <c r="B53" s="279" t="inlineStr">
        <is>
          <t>车险</t>
        </is>
      </c>
      <c r="C53" s="267" t="n"/>
      <c r="D53" s="426" t="n"/>
      <c r="E53" s="426" t="n"/>
      <c r="F53" s="426" t="n"/>
      <c r="G53" s="426" t="n"/>
      <c r="H53" s="426" t="n"/>
      <c r="I53" s="426" t="n"/>
      <c r="J53" s="426" t="n"/>
      <c r="K53" s="426" t="n"/>
      <c r="L53" s="426" t="n"/>
      <c r="M53" s="426" t="n"/>
      <c r="N53" s="426" t="n"/>
      <c r="O53" s="426" t="n"/>
      <c r="P53" s="426" t="n"/>
      <c r="Q53" s="427" t="n"/>
      <c r="R53" s="428">
        <f>SUM(CashPaidOut2[[#This Row],[Period 0]:[Period 12]])</f>
        <v/>
      </c>
      <c r="S53" s="295" t="n"/>
    </row>
    <row r="54" ht="17.25" customHeight="1">
      <c r="B54" s="279" t="inlineStr">
        <is>
          <t>保留或由第三人保存</t>
        </is>
      </c>
      <c r="C54" s="267" t="n"/>
      <c r="D54" s="426" t="n"/>
      <c r="E54" s="426" t="n"/>
      <c r="F54" s="426" t="n"/>
      <c r="G54" s="426" t="n"/>
      <c r="H54" s="426" t="n"/>
      <c r="I54" s="426" t="n"/>
      <c r="J54" s="426" t="n"/>
      <c r="K54" s="426" t="n"/>
      <c r="L54" s="426" t="n"/>
      <c r="M54" s="426" t="n"/>
      <c r="N54" s="426" t="n"/>
      <c r="O54" s="426" t="n"/>
      <c r="P54" s="426" t="n"/>
      <c r="Q54" s="427" t="n"/>
      <c r="R54" s="428">
        <f>SUM(CashPaidOut2[[#This Row],[Period 0]:[Period 12]])</f>
        <v/>
      </c>
      <c r="S54" s="295" t="n"/>
    </row>
    <row r="55" ht="17.25" customHeight="1">
      <c r="B55" s="279" t="inlineStr">
        <is>
          <t>所有者提款</t>
        </is>
      </c>
      <c r="C55" s="267" t="n"/>
      <c r="D55" s="426" t="n"/>
      <c r="E55" s="426" t="n"/>
      <c r="F55" s="426" t="n"/>
      <c r="G55" s="426" t="n"/>
      <c r="H55" s="426" t="n"/>
      <c r="I55" s="426" t="n"/>
      <c r="J55" s="426" t="n"/>
      <c r="K55" s="426" t="n"/>
      <c r="L55" s="426" t="n"/>
      <c r="M55" s="426" t="n"/>
      <c r="N55" s="426" t="n"/>
      <c r="O55" s="426" t="n"/>
      <c r="P55" s="426" t="n"/>
      <c r="Q55" s="427" t="n"/>
      <c r="R55" s="428">
        <f>SUM(CashPaidOut2[[#This Row],[Period 0]:[Period 12]])</f>
        <v/>
      </c>
      <c r="S55" s="295" t="n"/>
    </row>
    <row r="56" ht="17.25" customHeight="1">
      <c r="B56" s="276" t="inlineStr">
        <is>
          <t>总计</t>
        </is>
      </c>
      <c r="C56" s="267" t="n"/>
      <c r="D56" s="428">
        <f>SUBTOTAL(109,CashPaidOut2[Period 0])</f>
        <v/>
      </c>
      <c r="E56" s="428">
        <f>SUBTOTAL(109,CashPaidOut2[Period 1])</f>
        <v/>
      </c>
      <c r="F56" s="428">
        <f>SUBTOTAL(109,CashPaidOut2[Period 2])</f>
        <v/>
      </c>
      <c r="G56" s="428">
        <f>SUBTOTAL(109,CashPaidOut2[Period 3])</f>
        <v/>
      </c>
      <c r="H56" s="428">
        <f>SUBTOTAL(109,CashPaidOut2[Period 4])</f>
        <v/>
      </c>
      <c r="I56" s="428">
        <f>SUBTOTAL(109,CashPaidOut2[Period 5])</f>
        <v/>
      </c>
      <c r="J56" s="428">
        <f>SUBTOTAL(109,CashPaidOut2[Period 6])</f>
        <v/>
      </c>
      <c r="K56" s="428">
        <f>SUBTOTAL(109,CashPaidOut2[Period 7])</f>
        <v/>
      </c>
      <c r="L56" s="428">
        <f>SUBTOTAL(109,CashPaidOut2[Period 8])</f>
        <v/>
      </c>
      <c r="M56" s="428">
        <f>SUBTOTAL(109,CashPaidOut2[Period 9])</f>
        <v/>
      </c>
      <c r="N56" s="428">
        <f>SUBTOTAL(109,CashPaidOut2[Period 10])</f>
        <v/>
      </c>
      <c r="O56" s="428">
        <f>SUBTOTAL(109,CashPaidOut2[Period 11])</f>
        <v/>
      </c>
      <c r="P56" s="428">
        <f>SUBTOTAL(109,CashPaidOut2[Period 12])</f>
        <v/>
      </c>
      <c r="Q56" s="427" t="n"/>
      <c r="R56" s="428">
        <f>SUBTOTAL(109,CashPaidOut2[Total])</f>
        <v/>
      </c>
      <c r="S56" s="250" t="n"/>
    </row>
    <row r="57" ht="17.25" customHeight="1">
      <c r="B57" s="276" t="n"/>
      <c r="C57" s="274" t="n"/>
      <c r="D57" s="428" t="n"/>
      <c r="E57" s="428" t="n"/>
      <c r="F57" s="428" t="n"/>
      <c r="G57" s="428" t="n"/>
      <c r="H57" s="428" t="n"/>
      <c r="I57" s="428" t="n"/>
      <c r="J57" s="428" t="n"/>
      <c r="K57" s="428" t="n"/>
      <c r="L57" s="428" t="n"/>
      <c r="M57" s="428" t="n"/>
      <c r="N57" s="428" t="n"/>
      <c r="O57" s="428" t="n"/>
      <c r="P57" s="428" t="n"/>
      <c r="Q57" s="427" t="n"/>
      <c r="R57" s="428" t="n"/>
      <c r="S57" s="250" t="n"/>
    </row>
    <row r="58" ht="17.25" customHeight="1">
      <c r="B58" s="278" t="inlineStr">
        <is>
          <t>现金支付（无损益）</t>
        </is>
      </c>
      <c r="C58" s="274" t="n"/>
      <c r="Q58" s="267" t="n"/>
    </row>
    <row r="59" ht="17.25" customHeight="1">
      <c r="B59" s="279" t="inlineStr">
        <is>
          <t>贷款本金支付</t>
        </is>
      </c>
      <c r="C59" s="267" t="n"/>
      <c r="D59" s="426" t="n"/>
      <c r="E59" s="426" t="n"/>
      <c r="F59" s="426" t="n"/>
      <c r="G59" s="426" t="n"/>
      <c r="H59" s="426" t="n"/>
      <c r="I59" s="426" t="n"/>
      <c r="J59" s="426" t="n"/>
      <c r="K59" s="426" t="n"/>
      <c r="L59" s="426" t="n"/>
      <c r="M59" s="426" t="n"/>
      <c r="N59" s="426" t="n"/>
      <c r="O59" s="426" t="n"/>
      <c r="P59" s="426" t="n"/>
      <c r="Q59" s="427" t="n"/>
      <c r="R59" s="428">
        <f>SUM(CashPaidOut26[[#This Row],[Period 0]:[Period 12]])</f>
        <v/>
      </c>
      <c r="S59" s="295" t="n"/>
    </row>
    <row r="60" ht="17.25" customHeight="1">
      <c r="B60" s="279" t="inlineStr">
        <is>
          <t>资本购买（请指定）</t>
        </is>
      </c>
      <c r="C60" s="267" t="n"/>
      <c r="D60" s="426" t="n"/>
      <c r="E60" s="426" t="n"/>
      <c r="F60" s="426" t="n"/>
      <c r="G60" s="426" t="n"/>
      <c r="H60" s="426" t="n"/>
      <c r="I60" s="426" t="n"/>
      <c r="J60" s="426" t="n"/>
      <c r="K60" s="426" t="n"/>
      <c r="L60" s="426" t="n"/>
      <c r="M60" s="426" t="n"/>
      <c r="N60" s="426" t="n"/>
      <c r="O60" s="426" t="n"/>
      <c r="P60" s="426" t="n"/>
      <c r="Q60" s="427" t="n"/>
      <c r="R60" s="428">
        <f>SUM(CashPaidOut26[[#This Row],[Period 0]:[Period 12]])</f>
        <v/>
      </c>
      <c r="S60" s="295" t="n"/>
    </row>
    <row r="61" ht="17.25" customHeight="1">
      <c r="B61" s="279" t="inlineStr">
        <is>
          <t>其他启动费用</t>
        </is>
      </c>
      <c r="C61" s="267" t="n"/>
      <c r="D61" s="426" t="n"/>
      <c r="E61" s="426" t="n"/>
      <c r="F61" s="426" t="n"/>
      <c r="G61" s="426" t="n"/>
      <c r="H61" s="426" t="n"/>
      <c r="I61" s="426" t="n"/>
      <c r="J61" s="426" t="n"/>
      <c r="K61" s="426" t="n"/>
      <c r="L61" s="426" t="n"/>
      <c r="M61" s="426" t="n"/>
      <c r="N61" s="426" t="n"/>
      <c r="O61" s="426" t="n"/>
      <c r="P61" s="426" t="n"/>
      <c r="Q61" s="427" t="n"/>
      <c r="R61" s="428">
        <f>SUM(CashPaidOut26[[#This Row],[Period 0]:[Period 12]])</f>
        <v/>
      </c>
      <c r="S61" s="295" t="n"/>
    </row>
    <row r="62" ht="17.25" customHeight="1">
      <c r="B62" s="279" t="inlineStr">
        <is>
          <t>保留或由第三人保存</t>
        </is>
      </c>
      <c r="C62" s="267" t="n"/>
      <c r="D62" s="426" t="n"/>
      <c r="E62" s="426" t="n"/>
      <c r="F62" s="426" t="n"/>
      <c r="G62" s="426" t="n"/>
      <c r="H62" s="426" t="n"/>
      <c r="I62" s="426" t="n"/>
      <c r="J62" s="426" t="n"/>
      <c r="K62" s="426" t="n"/>
      <c r="L62" s="426" t="n"/>
      <c r="M62" s="426" t="n"/>
      <c r="N62" s="426" t="n"/>
      <c r="O62" s="426" t="n"/>
      <c r="P62" s="426" t="n"/>
      <c r="Q62" s="427" t="n"/>
      <c r="R62" s="428">
        <f>SUM(CashPaidOut26[[#This Row],[Period 0]:[Period 12]])</f>
        <v/>
      </c>
      <c r="S62" s="295" t="n"/>
    </row>
    <row r="63" ht="17.25" customHeight="1">
      <c r="B63" s="279" t="inlineStr">
        <is>
          <t>所有者提款</t>
        </is>
      </c>
      <c r="C63" s="267" t="n"/>
      <c r="D63" s="426" t="n"/>
      <c r="E63" s="426" t="n"/>
      <c r="F63" s="426" t="n"/>
      <c r="G63" s="426" t="n"/>
      <c r="H63" s="426" t="n"/>
      <c r="I63" s="426" t="n"/>
      <c r="J63" s="426" t="n"/>
      <c r="K63" s="426" t="n"/>
      <c r="L63" s="426" t="n"/>
      <c r="M63" s="426" t="n"/>
      <c r="N63" s="426" t="n"/>
      <c r="O63" s="426" t="n"/>
      <c r="P63" s="426" t="n"/>
      <c r="Q63" s="427" t="n"/>
      <c r="R63" s="428">
        <f>SUM(CashPaidOut26[[#This Row],[Period 0]:[Period 12]])</f>
        <v/>
      </c>
      <c r="S63" s="295" t="n"/>
    </row>
    <row r="64" ht="17.25" customHeight="1">
      <c r="B64" s="276" t="inlineStr">
        <is>
          <t>总计</t>
        </is>
      </c>
      <c r="C64" s="267" t="n"/>
      <c r="D64" s="428">
        <f>SUBTOTAL(109,CashPaidOut26[Period 0])</f>
        <v/>
      </c>
      <c r="E64" s="428">
        <f>SUBTOTAL(109,CashPaidOut26[Period 1])</f>
        <v/>
      </c>
      <c r="F64" s="428">
        <f>SUBTOTAL(109,CashPaidOut26[Period 2])</f>
        <v/>
      </c>
      <c r="G64" s="428">
        <f>SUBTOTAL(109,CashPaidOut26[Period 3])</f>
        <v/>
      </c>
      <c r="H64" s="428">
        <f>SUBTOTAL(109,CashPaidOut26[Period 4])</f>
        <v/>
      </c>
      <c r="I64" s="428">
        <f>SUBTOTAL(109,CashPaidOut26[Period 5])</f>
        <v/>
      </c>
      <c r="J64" s="428">
        <f>SUBTOTAL(109,CashPaidOut26[Period 6])</f>
        <v/>
      </c>
      <c r="K64" s="428">
        <f>SUBTOTAL(109,CashPaidOut26[Period 7])</f>
        <v/>
      </c>
      <c r="L64" s="428">
        <f>SUBTOTAL(109,CashPaidOut26[Period 8])</f>
        <v/>
      </c>
      <c r="M64" s="428">
        <f>SUBTOTAL(109,CashPaidOut26[Period 9])</f>
        <v/>
      </c>
      <c r="N64" s="428">
        <f>SUBTOTAL(109,CashPaidOut26[Period 10])</f>
        <v/>
      </c>
      <c r="O64" s="428">
        <f>SUBTOTAL(109,CashPaidOut26[Period 11])</f>
        <v/>
      </c>
      <c r="P64" s="428">
        <f>SUBTOTAL(109,CashPaidOut26[Period 12])</f>
        <v/>
      </c>
      <c r="Q64" s="427" t="n"/>
      <c r="R64" s="428">
        <f>SUBTOTAL(109,CashPaidOut26[Total])</f>
        <v/>
      </c>
      <c r="S64" s="250" t="n"/>
    </row>
    <row r="65" ht="17.25" customHeight="1">
      <c r="B65" s="433" t="inlineStr">
        <is>
          <t>总现金支付</t>
        </is>
      </c>
      <c r="C65" s="274" t="n"/>
      <c r="D65" s="434">
        <f>SUM(CashPaidOut[Period 0],CashPaidOut218[Period 0],CashPaidOut2[Period 0])</f>
        <v/>
      </c>
      <c r="E65" s="434">
        <f>SUM(CashPaidOut[Period 1],CashPaidOut2[Period 1],E19:E23)</f>
        <v/>
      </c>
      <c r="F65" s="434">
        <f>SUM(CashPaidOut[Period 2],CashPaidOut2[Period 2])</f>
        <v/>
      </c>
      <c r="G65" s="434">
        <f>SUM(CashPaidOut[Period 3],CashPaidOut2[Period 3])</f>
        <v/>
      </c>
      <c r="H65" s="434">
        <f>SUM(CashPaidOut[Period 4],CashPaidOut2[Period 4])</f>
        <v/>
      </c>
      <c r="I65" s="434">
        <f>SUM(CashPaidOut[Period 5],CashPaidOut2[Period 5])</f>
        <v/>
      </c>
      <c r="J65" s="434">
        <f>SUM(CashPaidOut[Period 6],CashPaidOut2[Period 6])</f>
        <v/>
      </c>
      <c r="K65" s="434">
        <f>SUM(CashPaidOut[Period 7],CashPaidOut2[Period 7])</f>
        <v/>
      </c>
      <c r="L65" s="434">
        <f>SUM(CashPaidOut[Period 8],CashPaidOut2[Period 8])</f>
        <v/>
      </c>
      <c r="M65" s="434">
        <f>SUM(CashPaidOut[Period 9],CashPaidOut2[Period 9])</f>
        <v/>
      </c>
      <c r="N65" s="434">
        <f>SUM(CashPaidOut[Period 10],CashPaidOut2[Period 10])</f>
        <v/>
      </c>
      <c r="O65" s="434">
        <f>SUM(CashPaidOut[Period 11],CashPaidOut2[Period 11])</f>
        <v/>
      </c>
      <c r="P65" s="434">
        <f>SUM(CashPaidOut[Period 12],CashPaidOut2[Period 12])</f>
        <v/>
      </c>
      <c r="Q65" s="274" t="n"/>
      <c r="R65" s="434">
        <f>SUM(CashPaidOut[Total],CashPaidOut2[Total])</f>
        <v/>
      </c>
      <c r="S65" s="298" t="n"/>
    </row>
    <row r="66" ht="17.25" customFormat="1" customHeight="1" s="250">
      <c r="B66" s="351" t="n"/>
    </row>
    <row r="67" ht="17.25" customHeight="1">
      <c r="B67" s="433" t="inlineStr">
        <is>
          <t>现金头寸 (月末)</t>
        </is>
      </c>
      <c r="C67" s="274" t="n"/>
      <c r="D67" s="434">
        <f>D16-D65</f>
        <v/>
      </c>
      <c r="E67" s="434">
        <f>E16-E65</f>
        <v/>
      </c>
      <c r="F67" s="434">
        <f>F16-F65</f>
        <v/>
      </c>
      <c r="G67" s="434">
        <f>G16-G65</f>
        <v/>
      </c>
      <c r="H67" s="434">
        <f>H16-H65</f>
        <v/>
      </c>
      <c r="I67" s="434">
        <f>I16-I65</f>
        <v/>
      </c>
      <c r="J67" s="434">
        <f>J16-J65</f>
        <v/>
      </c>
      <c r="K67" s="434">
        <f>K16-K65</f>
        <v/>
      </c>
      <c r="L67" s="434">
        <f>L16-L65</f>
        <v/>
      </c>
      <c r="M67" s="434">
        <f>M16-M65</f>
        <v/>
      </c>
      <c r="N67" s="434">
        <f>N16-N65</f>
        <v/>
      </c>
      <c r="O67" s="434">
        <f>O16-O65</f>
        <v/>
      </c>
      <c r="P67" s="434">
        <f>P16-P65</f>
        <v/>
      </c>
      <c r="Q67" s="274" t="n"/>
      <c r="R67" s="434">
        <f>R16-R65</f>
        <v/>
      </c>
      <c r="S67" s="298" t="n"/>
    </row>
  </sheetData>
  <mergeCells count="2">
    <mergeCell ref="B66:S66"/>
    <mergeCell ref="B25:S25"/>
  </mergeCells>
  <conditionalFormatting sqref="E6:P6">
    <cfRule type="expression" priority="3" dxfId="1">
      <formula>E6&lt;0</formula>
    </cfRule>
  </conditionalFormatting>
  <conditionalFormatting sqref="E16:P16">
    <cfRule type="expression" priority="1" dxfId="1">
      <formula>E16&lt;0</formula>
    </cfRule>
  </conditionalFormatting>
  <conditionalFormatting sqref="E67:P67">
    <cfRule type="expression" priority="2" dxfId="1">
      <formula>E67&lt;0</formula>
    </cfRule>
  </conditionalFormatting>
  <printOptions horizontalCentered="1" verticalCentered="1"/>
  <pageMargins left="0.25" right="0.25" top="0.75" bottom="0.75" header="0.3" footer="0.3"/>
  <pageSetup orientation="landscape" scale="72"/>
  <legacyDrawing xmlns:r="http://schemas.openxmlformats.org/officeDocument/2006/relationships" r:id="anysvml"/>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3.xml><?xml version="1.0" encoding="utf-8"?>
<worksheet xmlns="http://schemas.openxmlformats.org/spreadsheetml/2006/main">
  <sheetPr codeName="Sheet24">
    <tabColor theme="4" tint="-0.249977111117893"/>
    <outlinePr summaryBelow="1" summaryRight="1"/>
    <pageSetUpPr autoPageBreaks="0" fitToPage="1"/>
  </sheetPr>
  <dimension ref="A1:J81"/>
  <sheetViews>
    <sheetView showGridLines="0" topLeftCell="A4" zoomScaleSheetLayoutView="30" workbookViewId="0">
      <selection activeCell="B3" sqref="B3"/>
    </sheetView>
  </sheetViews>
  <sheetFormatPr baseColWidth="10" defaultColWidth="8.6640625" defaultRowHeight="14"/>
  <cols>
    <col width="1.33203125" customWidth="1" style="187" min="1" max="1"/>
    <col width="30.6640625" customWidth="1" min="2" max="2"/>
    <col width="20.6640625" customWidth="1" min="3" max="5"/>
    <col width="15.6640625" customWidth="1" min="6" max="6"/>
    <col width="30.6640625" customWidth="1" min="7" max="7"/>
    <col width="20.6640625" customWidth="1" min="8" max="10"/>
    <col width="2.6640625" customWidth="1" min="11" max="11"/>
  </cols>
  <sheetData>
    <row r="1" ht="20" customFormat="1" customHeight="1" s="185">
      <c r="A1" s="188" t="n"/>
      <c r="B1" s="189" t="n"/>
      <c r="C1" s="189" t="n"/>
      <c r="D1" s="189" t="n"/>
      <c r="E1" s="189" t="n"/>
      <c r="F1" s="189" t="n"/>
      <c r="G1" s="189" t="n"/>
      <c r="H1" s="189" t="n"/>
      <c r="I1" s="189" t="n"/>
      <c r="J1" s="189" t="n"/>
    </row>
    <row r="2" ht="95" customFormat="1" customHeight="1" s="185">
      <c r="A2" s="190" t="n"/>
      <c r="B2" s="371" t="inlineStr">
        <is>
          <t>月度预算</t>
        </is>
      </c>
      <c r="I2" s="247" t="n"/>
      <c r="J2" s="247" t="n"/>
    </row>
    <row r="3" ht="15" customHeight="1">
      <c r="A3" s="191" t="n"/>
    </row>
    <row r="4" ht="30" customHeight="1">
      <c r="A4" s="191" t="n"/>
      <c r="B4" s="373" t="inlineStr">
        <is>
          <t>预计月收入</t>
        </is>
      </c>
      <c r="C4" s="436" t="n"/>
      <c r="D4" s="192" t="n"/>
      <c r="E4" s="355" t="inlineStr">
        <is>
          <t>预计结余
（预计收入减预计支出）</t>
        </is>
      </c>
      <c r="H4" s="437" t="inlineStr">
        <is>
          <t>fgtr6</t>
        </is>
      </c>
    </row>
    <row r="5" ht="30" customHeight="1">
      <c r="A5" s="191" t="n"/>
      <c r="B5" s="193" t="inlineStr">
        <is>
          <t>收入 1</t>
        </is>
      </c>
      <c r="C5" s="438" t="n">
        <v>4300</v>
      </c>
      <c r="I5" s="201" t="n"/>
    </row>
    <row r="6" ht="30" customHeight="1">
      <c r="A6" s="191" t="n"/>
      <c r="B6" s="195" t="inlineStr">
        <is>
          <t>额外收入</t>
        </is>
      </c>
      <c r="C6" s="439" t="n">
        <v>300</v>
      </c>
      <c r="E6" s="356" t="inlineStr">
        <is>
          <t>实际余额
（实际收入减实际支出）</t>
        </is>
      </c>
      <c r="H6" s="440">
        <f>C12-J75</f>
        <v/>
      </c>
      <c r="I6" s="201" t="n"/>
    </row>
    <row r="7" ht="30" customHeight="1">
      <c r="A7" s="191" t="n"/>
      <c r="B7" s="197" t="inlineStr">
        <is>
          <t>月总收入</t>
        </is>
      </c>
      <c r="C7" s="441">
        <f>SUM(C5:C6)</f>
        <v/>
      </c>
      <c r="I7" s="201" t="n"/>
    </row>
    <row r="8" ht="30" customHeight="1">
      <c r="A8" s="191" t="n"/>
      <c r="E8" s="357" t="inlineStr">
        <is>
          <t>差额
（实际值减预计值）</t>
        </is>
      </c>
      <c r="H8" s="442">
        <f>H6-H4</f>
        <v/>
      </c>
      <c r="I8" s="201" t="n"/>
    </row>
    <row r="9" ht="30" customHeight="1">
      <c r="A9" s="191" t="n"/>
      <c r="B9" s="373" t="inlineStr">
        <is>
          <t>实际月收入</t>
        </is>
      </c>
      <c r="C9" s="436" t="n"/>
      <c r="D9" s="192" t="n"/>
      <c r="I9" s="248" t="n"/>
    </row>
    <row r="10" ht="30" customHeight="1">
      <c r="A10" s="191" t="n"/>
      <c r="B10" s="195" t="inlineStr">
        <is>
          <t>收入 1</t>
        </is>
      </c>
      <c r="C10" s="439" t="n">
        <v>4000</v>
      </c>
      <c r="I10" s="201" t="n"/>
    </row>
    <row r="11" ht="30" customHeight="1">
      <c r="A11" s="191" t="n"/>
      <c r="B11" s="199" t="inlineStr">
        <is>
          <t>额外收入</t>
        </is>
      </c>
      <c r="C11" s="443" t="n">
        <v>300</v>
      </c>
      <c r="E11" s="201" t="n"/>
      <c r="H11" s="444" t="n"/>
      <c r="I11" s="201" t="n"/>
    </row>
    <row r="12" ht="30" customHeight="1">
      <c r="A12" s="191" t="n"/>
      <c r="B12" s="197" t="inlineStr">
        <is>
          <t>每月总收入</t>
        </is>
      </c>
      <c r="C12" s="441">
        <f>SUM(C10:C11)</f>
        <v/>
      </c>
    </row>
    <row r="13" ht="38" customHeight="1">
      <c r="A13" s="191" t="n"/>
      <c r="B13" s="203" t="n"/>
      <c r="C13" s="445" t="n"/>
    </row>
    <row r="14" ht="30" customFormat="1" customHeight="1" s="186">
      <c r="A14" s="205" t="n"/>
      <c r="B14" s="206" t="inlineStr">
        <is>
          <t>住房</t>
        </is>
      </c>
      <c r="C14" s="364" t="n"/>
      <c r="D14" s="208" t="n"/>
      <c r="E14" s="208" t="n"/>
      <c r="G14" s="363" t="inlineStr">
        <is>
          <t>娱乐</t>
        </is>
      </c>
      <c r="H14" s="364" t="n"/>
      <c r="I14" s="364" t="n"/>
      <c r="J14" s="364" t="n"/>
    </row>
    <row r="15" ht="48" customHeight="1">
      <c r="A15" s="191" t="n"/>
      <c r="B15" s="210" t="inlineStr">
        <is>
          <t>0</t>
        </is>
      </c>
      <c r="C15" s="211" t="inlineStr">
        <is>
          <t>预计
费用</t>
        </is>
      </c>
      <c r="D15" s="211" t="inlineStr">
        <is>
          <t>实际
费用</t>
        </is>
      </c>
      <c r="E15" s="212" t="inlineStr">
        <is>
          <t>差额</t>
        </is>
      </c>
      <c r="F15" s="213" t="n"/>
      <c r="G15" s="214" t="inlineStr">
        <is>
          <t>0</t>
        </is>
      </c>
      <c r="H15" s="215" t="inlineStr">
        <is>
          <t>预计
费用</t>
        </is>
      </c>
      <c r="I15" s="215" t="inlineStr">
        <is>
          <t>实际
费用</t>
        </is>
      </c>
      <c r="J15" s="228" t="inlineStr">
        <is>
          <t>差额</t>
        </is>
      </c>
    </row>
    <row r="16" ht="30" customHeight="1">
      <c r="A16" s="191" t="n"/>
      <c r="B16" s="216" t="inlineStr">
        <is>
          <t>抵押贷款或租金</t>
        </is>
      </c>
      <c r="C16" s="446" t="n">
        <v>1000</v>
      </c>
      <c r="D16" s="446" t="n">
        <v>1000</v>
      </c>
      <c r="E16" s="446">
        <f>住房[[#This Row],[预计
费用]]-住房[[#This Row],[实际
费用]]</f>
        <v/>
      </c>
      <c r="F16" s="213" t="n"/>
      <c r="G16" s="218" t="inlineStr">
        <is>
          <t>视频/DVD</t>
        </is>
      </c>
      <c r="H16" s="447" t="n"/>
      <c r="I16" s="447" t="n"/>
      <c r="J16" s="447">
        <f>娱乐[[#This Row],[预计
费用]]-娱乐[[#This Row],[实际
费用]]</f>
        <v/>
      </c>
    </row>
    <row r="17" ht="30" customHeight="1">
      <c r="A17" s="191" t="n"/>
      <c r="B17" s="216" t="inlineStr">
        <is>
          <t>电话</t>
        </is>
      </c>
      <c r="C17" s="446" t="n">
        <v>54</v>
      </c>
      <c r="D17" s="446" t="n">
        <v>100</v>
      </c>
      <c r="E17" s="446">
        <f>住房[[#This Row],[预计
费用]]-住房[[#This Row],[实际
费用]]</f>
        <v/>
      </c>
      <c r="F17" s="213" t="n"/>
      <c r="G17" s="218" t="inlineStr">
        <is>
          <t>CD</t>
        </is>
      </c>
      <c r="H17" s="447" t="n"/>
      <c r="I17" s="447" t="n"/>
      <c r="J17" s="447">
        <f>娱乐[[#This Row],[预计
费用]]-娱乐[[#This Row],[实际
费用]]</f>
        <v/>
      </c>
    </row>
    <row r="18" ht="30" customHeight="1">
      <c r="A18" s="191" t="n"/>
      <c r="B18" s="216" t="inlineStr">
        <is>
          <t>电费</t>
        </is>
      </c>
      <c r="C18" s="446" t="n">
        <v>44</v>
      </c>
      <c r="D18" s="446" t="n">
        <v>56</v>
      </c>
      <c r="E18" s="446">
        <f>住房[[#This Row],[预计
费用]]-住房[[#This Row],[实际
费用]]</f>
        <v/>
      </c>
      <c r="F18" s="213" t="n"/>
      <c r="G18" s="218" t="inlineStr">
        <is>
          <t>电影</t>
        </is>
      </c>
      <c r="H18" s="447" t="n"/>
      <c r="I18" s="447" t="n"/>
      <c r="J18" s="447">
        <f>娱乐[[#This Row],[预计
费用]]-娱乐[[#This Row],[实际
费用]]</f>
        <v/>
      </c>
    </row>
    <row r="19" ht="30" customHeight="1">
      <c r="A19" s="191" t="n"/>
      <c r="B19" s="216" t="inlineStr">
        <is>
          <t>燃气</t>
        </is>
      </c>
      <c r="C19" s="446" t="n">
        <v>22</v>
      </c>
      <c r="D19" s="446" t="n">
        <v>28</v>
      </c>
      <c r="E19" s="446">
        <f>住房[[#This Row],[预计
费用]]-住房[[#This Row],[实际
费用]]</f>
        <v/>
      </c>
      <c r="F19" s="213" t="n"/>
      <c r="G19" s="218" t="inlineStr">
        <is>
          <t>音乐会</t>
        </is>
      </c>
      <c r="H19" s="447" t="n"/>
      <c r="I19" s="447" t="n"/>
      <c r="J19" s="447">
        <f>娱乐[[#This Row],[预计
费用]]-娱乐[[#This Row],[实际
费用]]</f>
        <v/>
      </c>
    </row>
    <row r="20" ht="30" customHeight="1">
      <c r="A20" s="191" t="n"/>
      <c r="B20" s="216" t="inlineStr">
        <is>
          <t>用水和排污</t>
        </is>
      </c>
      <c r="C20" s="446" t="n">
        <v>8</v>
      </c>
      <c r="D20" s="446" t="n">
        <v>8</v>
      </c>
      <c r="E20" s="446">
        <f>住房[[#This Row],[预计
费用]]-住房[[#This Row],[实际
费用]]</f>
        <v/>
      </c>
      <c r="F20" s="213" t="n"/>
      <c r="G20" s="218" t="inlineStr">
        <is>
          <t>体育活动</t>
        </is>
      </c>
      <c r="H20" s="447" t="n"/>
      <c r="I20" s="447" t="n"/>
      <c r="J20" s="447">
        <f>娱乐[[#This Row],[预计
费用]]-娱乐[[#This Row],[实际
费用]]</f>
        <v/>
      </c>
    </row>
    <row r="21" ht="30" customHeight="1">
      <c r="A21" s="191" t="n"/>
      <c r="B21" s="216" t="inlineStr">
        <is>
          <t>有线电视费</t>
        </is>
      </c>
      <c r="C21" s="446" t="n">
        <v>34</v>
      </c>
      <c r="D21" s="446" t="n">
        <v>34</v>
      </c>
      <c r="E21" s="446">
        <f>住房[[#This Row],[预计
费用]]-住房[[#This Row],[实际
费用]]</f>
        <v/>
      </c>
      <c r="F21" s="213" t="n"/>
      <c r="G21" s="218" t="inlineStr">
        <is>
          <t>现场</t>
        </is>
      </c>
      <c r="H21" s="447" t="n"/>
      <c r="I21" s="447" t="n"/>
      <c r="J21" s="447">
        <f>娱乐[[#This Row],[预计
费用]]-娱乐[[#This Row],[实际
费用]]</f>
        <v/>
      </c>
    </row>
    <row r="22" ht="30" customHeight="1">
      <c r="A22" s="191" t="n"/>
      <c r="B22" s="216" t="inlineStr">
        <is>
          <t>垃圾处理</t>
        </is>
      </c>
      <c r="C22" s="446" t="n">
        <v>10</v>
      </c>
      <c r="D22" s="446" t="n">
        <v>10</v>
      </c>
      <c r="E22" s="446">
        <f>住房[[#This Row],[预计
费用]]-住房[[#This Row],[实际
费用]]</f>
        <v/>
      </c>
      <c r="F22" s="213" t="n"/>
      <c r="G22" s="218" t="inlineStr">
        <is>
          <t>其他</t>
        </is>
      </c>
      <c r="H22" s="447" t="n"/>
      <c r="I22" s="447" t="n"/>
      <c r="J22" s="447">
        <f>娱乐[[#This Row],[预计
费用]]-娱乐[[#This Row],[实际
费用]]</f>
        <v/>
      </c>
    </row>
    <row r="23" ht="30" customHeight="1">
      <c r="A23" s="191" t="n"/>
      <c r="B23" s="216" t="inlineStr">
        <is>
          <t>保养或修理</t>
        </is>
      </c>
      <c r="C23" s="446" t="n">
        <v>23</v>
      </c>
      <c r="D23" s="446" t="n">
        <v>0</v>
      </c>
      <c r="E23" s="446">
        <f>住房[[#This Row],[预计
费用]]-住房[[#This Row],[实际
费用]]</f>
        <v/>
      </c>
      <c r="F23" s="213" t="n"/>
      <c r="G23" s="218" t="inlineStr">
        <is>
          <t>其他</t>
        </is>
      </c>
      <c r="H23" s="447" t="n"/>
      <c r="I23" s="447" t="n"/>
      <c r="J23" s="447">
        <f>娱乐[[#This Row],[预计
费用]]-娱乐[[#This Row],[实际
费用]]</f>
        <v/>
      </c>
    </row>
    <row r="24" ht="30" customHeight="1">
      <c r="A24" s="191" t="n"/>
      <c r="B24" s="216" t="inlineStr">
        <is>
          <t>日用品</t>
        </is>
      </c>
      <c r="C24" s="446" t="n">
        <v>0</v>
      </c>
      <c r="D24" s="446" t="n">
        <v>0</v>
      </c>
      <c r="E24" s="446">
        <f>住房[[#This Row],[预计
费用]]-住房[[#This Row],[实际
费用]]</f>
        <v/>
      </c>
      <c r="F24" s="213" t="n"/>
      <c r="G24" s="218" t="inlineStr">
        <is>
          <t>其他</t>
        </is>
      </c>
      <c r="H24" s="447" t="n"/>
      <c r="I24" s="447" t="n"/>
      <c r="J24" s="447">
        <f>娱乐[[#This Row],[预计
费用]]-娱乐[[#This Row],[实际
费用]]</f>
        <v/>
      </c>
    </row>
    <row r="25" ht="30" customHeight="1">
      <c r="A25" s="191" t="n"/>
      <c r="B25" s="216" t="inlineStr">
        <is>
          <t>其他</t>
        </is>
      </c>
      <c r="C25" s="446" t="n">
        <v>0</v>
      </c>
      <c r="D25" s="446" t="n">
        <v>0</v>
      </c>
      <c r="E25" s="446">
        <f>住房[[#This Row],[预计
费用]]-住房[[#This Row],[实际
费用]]</f>
        <v/>
      </c>
      <c r="F25" s="213" t="n"/>
      <c r="G25" s="220" t="inlineStr">
        <is>
          <t>小计</t>
        </is>
      </c>
      <c r="H25" s="448" t="n"/>
      <c r="I25" s="448" t="n"/>
      <c r="J25" s="449">
        <f>SUBTOTAL(109,娱乐[差额])</f>
        <v/>
      </c>
    </row>
    <row r="26" ht="30" customHeight="1">
      <c r="A26" s="191" t="n"/>
      <c r="B26" s="222" t="inlineStr">
        <is>
          <t>小计</t>
        </is>
      </c>
      <c r="C26" s="450" t="n"/>
      <c r="D26" s="450" t="n"/>
      <c r="E26" s="446">
        <f>SUBTOTAL(109,住房[差额])</f>
        <v/>
      </c>
      <c r="F26" s="213" t="n"/>
      <c r="G26" s="370" t="n"/>
      <c r="H26" s="370" t="n"/>
      <c r="I26" s="370" t="n"/>
      <c r="J26" s="370" t="n"/>
    </row>
    <row r="27" ht="38" customHeight="1">
      <c r="A27" s="191" t="n"/>
      <c r="B27" s="225" t="n"/>
      <c r="C27" s="451" t="n"/>
      <c r="D27" s="451" t="n"/>
      <c r="E27" s="451" t="n"/>
      <c r="F27" s="213" t="n"/>
      <c r="G27" s="370" t="n"/>
      <c r="H27" s="370" t="n"/>
      <c r="I27" s="370" t="n"/>
      <c r="J27" s="370" t="n"/>
    </row>
    <row r="28" ht="30" customFormat="1" customHeight="1" s="186">
      <c r="A28" s="191" t="n"/>
      <c r="B28" s="361" t="inlineStr">
        <is>
          <t>交通</t>
        </is>
      </c>
      <c r="F28" s="213" t="n"/>
      <c r="G28" s="363" t="inlineStr">
        <is>
          <t>贷款</t>
        </is>
      </c>
    </row>
    <row r="29" ht="48" customHeight="1">
      <c r="A29" s="191" t="n"/>
      <c r="B29" s="227" t="inlineStr">
        <is>
          <t>0</t>
        </is>
      </c>
      <c r="C29" s="215" t="inlineStr">
        <is>
          <t>预计
费用</t>
        </is>
      </c>
      <c r="D29" s="215" t="inlineStr">
        <is>
          <t>实际
费用</t>
        </is>
      </c>
      <c r="E29" s="228" t="inlineStr">
        <is>
          <t>差额</t>
        </is>
      </c>
      <c r="F29" s="213" t="n"/>
      <c r="G29" s="229" t="inlineStr">
        <is>
          <t>0</t>
        </is>
      </c>
      <c r="H29" s="215" t="inlineStr">
        <is>
          <t>预计
费用</t>
        </is>
      </c>
      <c r="I29" s="215" t="inlineStr">
        <is>
          <t>实际
费用</t>
        </is>
      </c>
      <c r="J29" s="228" t="inlineStr">
        <is>
          <t>差额</t>
        </is>
      </c>
    </row>
    <row r="30" ht="30" customHeight="1">
      <c r="A30" s="191" t="n"/>
      <c r="B30" s="218" t="inlineStr">
        <is>
          <t>汽车还款</t>
        </is>
      </c>
      <c r="C30" s="447" t="n"/>
      <c r="D30" s="447" t="n"/>
      <c r="E30" s="447">
        <f>交通[[#This Row],[预计
费用]]-交通[[#This Row],[实际
费用]]</f>
        <v/>
      </c>
      <c r="F30" s="213" t="n"/>
      <c r="G30" s="218" t="inlineStr">
        <is>
          <t>个人</t>
        </is>
      </c>
      <c r="H30" s="447" t="n"/>
      <c r="I30" s="447" t="n"/>
      <c r="J30" s="447">
        <f>贷款[[#This Row],[预计
费用]]-贷款[[#This Row],[实际
费用]]</f>
        <v/>
      </c>
    </row>
    <row r="31" ht="30" customHeight="1">
      <c r="A31" s="191" t="n"/>
      <c r="B31" s="218" t="inlineStr">
        <is>
          <t>公交/出租车费</t>
        </is>
      </c>
      <c r="C31" s="447" t="n"/>
      <c r="D31" s="447" t="n"/>
      <c r="E31" s="447">
        <f>交通[[#This Row],[预计
费用]]-交通[[#This Row],[实际
费用]]</f>
        <v/>
      </c>
      <c r="F31" s="213" t="n"/>
      <c r="G31" s="218" t="inlineStr">
        <is>
          <t>学生</t>
        </is>
      </c>
      <c r="H31" s="447" t="n"/>
      <c r="I31" s="447" t="n"/>
      <c r="J31" s="447">
        <f>贷款[[#This Row],[预计
费用]]-贷款[[#This Row],[实际
费用]]</f>
        <v/>
      </c>
    </row>
    <row r="32" ht="30" customHeight="1">
      <c r="A32" s="191" t="n"/>
      <c r="B32" s="218" t="inlineStr">
        <is>
          <t>保险</t>
        </is>
      </c>
      <c r="C32" s="447" t="n"/>
      <c r="D32" s="447" t="n"/>
      <c r="E32" s="447">
        <f>交通[[#This Row],[预计
费用]]-交通[[#This Row],[实际
费用]]</f>
        <v/>
      </c>
      <c r="F32" s="213" t="n"/>
      <c r="G32" s="218" t="inlineStr">
        <is>
          <t>信用卡</t>
        </is>
      </c>
      <c r="H32" s="447" t="n"/>
      <c r="I32" s="447" t="n"/>
      <c r="J32" s="447">
        <f>贷款[[#This Row],[预计
费用]]-贷款[[#This Row],[实际
费用]]</f>
        <v/>
      </c>
    </row>
    <row r="33" ht="30" customHeight="1">
      <c r="A33" s="191" t="n"/>
      <c r="B33" s="218" t="inlineStr">
        <is>
          <t>牌照</t>
        </is>
      </c>
      <c r="C33" s="447" t="n"/>
      <c r="D33" s="447" t="n"/>
      <c r="E33" s="447">
        <f>交通[[#This Row],[预计
费用]]-交通[[#This Row],[实际
费用]]</f>
        <v/>
      </c>
      <c r="F33" s="213" t="n"/>
      <c r="G33" s="218" t="inlineStr">
        <is>
          <t>信用卡</t>
        </is>
      </c>
      <c r="H33" s="447" t="n"/>
      <c r="I33" s="447" t="n"/>
      <c r="J33" s="447">
        <f>贷款[[#This Row],[预计
费用]]-贷款[[#This Row],[实际
费用]]</f>
        <v/>
      </c>
    </row>
    <row r="34" ht="30" customHeight="1">
      <c r="A34" s="191" t="n"/>
      <c r="B34" s="218" t="inlineStr">
        <is>
          <t>燃油</t>
        </is>
      </c>
      <c r="C34" s="447" t="n"/>
      <c r="D34" s="447" t="n"/>
      <c r="E34" s="447">
        <f>交通[[#This Row],[预计
费用]]-交通[[#This Row],[实际
费用]]</f>
        <v/>
      </c>
      <c r="F34" s="213" t="n"/>
      <c r="G34" s="218" t="inlineStr">
        <is>
          <t>信用卡</t>
        </is>
      </c>
      <c r="H34" s="447" t="n"/>
      <c r="I34" s="447" t="n"/>
      <c r="J34" s="447">
        <f>贷款[[#This Row],[预计
费用]]-贷款[[#This Row],[实际
费用]]</f>
        <v/>
      </c>
    </row>
    <row r="35" ht="30" customHeight="1">
      <c r="A35" s="191" t="n"/>
      <c r="B35" s="218" t="inlineStr">
        <is>
          <t>维护</t>
        </is>
      </c>
      <c r="C35" s="447" t="n"/>
      <c r="D35" s="447" t="n"/>
      <c r="E35" s="447">
        <f>交通[[#This Row],[预计
费用]]-交通[[#This Row],[实际
费用]]</f>
        <v/>
      </c>
      <c r="F35" s="213" t="n"/>
      <c r="G35" s="218" t="inlineStr">
        <is>
          <t>其他</t>
        </is>
      </c>
      <c r="H35" s="447" t="n"/>
      <c r="I35" s="447" t="n"/>
      <c r="J35" s="447">
        <f>贷款[[#This Row],[预计
费用]]-贷款[[#This Row],[实际
费用]]</f>
        <v/>
      </c>
    </row>
    <row r="36" ht="30" customHeight="1">
      <c r="A36" s="191" t="n"/>
      <c r="B36" s="218" t="inlineStr">
        <is>
          <t>其他</t>
        </is>
      </c>
      <c r="C36" s="447" t="n"/>
      <c r="D36" s="447" t="n"/>
      <c r="E36" s="447">
        <f>交通[[#This Row],[预计
费用]]-交通[[#This Row],[实际
费用]]</f>
        <v/>
      </c>
      <c r="F36" s="213" t="n"/>
      <c r="G36" s="220" t="inlineStr">
        <is>
          <t>小计</t>
        </is>
      </c>
      <c r="H36" s="452" t="n"/>
      <c r="I36" s="452" t="n"/>
      <c r="J36" s="449">
        <f>SUBTOTAL(109,贷款[差额])</f>
        <v/>
      </c>
    </row>
    <row r="37" ht="30" customHeight="1">
      <c r="A37" s="191" t="n"/>
      <c r="B37" s="220" t="inlineStr">
        <is>
          <t>小计</t>
        </is>
      </c>
      <c r="C37" s="452" t="n"/>
      <c r="D37" s="452" t="n"/>
      <c r="E37" s="449">
        <f>SUBTOTAL(109,交通[差额])</f>
        <v/>
      </c>
      <c r="F37" s="213" t="n"/>
      <c r="G37" s="225" t="n"/>
      <c r="H37" s="453" t="n"/>
      <c r="I37" s="453" t="n"/>
      <c r="J37" s="453" t="n"/>
    </row>
    <row r="38" ht="38" customHeight="1">
      <c r="A38" s="191" t="n"/>
      <c r="B38" s="233" t="n"/>
      <c r="C38" s="454" t="n"/>
      <c r="D38" s="454" t="n"/>
      <c r="E38" s="451" t="n"/>
      <c r="F38" s="213" t="n"/>
      <c r="G38" s="370" t="n"/>
    </row>
    <row r="39" ht="30" customFormat="1" customHeight="1" s="186">
      <c r="A39" s="191" t="n"/>
      <c r="B39" s="363" t="inlineStr">
        <is>
          <t>保险</t>
        </is>
      </c>
      <c r="F39" s="213" t="n"/>
      <c r="G39" s="363" t="inlineStr">
        <is>
          <t>税款</t>
        </is>
      </c>
    </row>
    <row r="40" ht="48" customHeight="1">
      <c r="A40" s="191" t="n"/>
      <c r="B40" s="229" t="inlineStr">
        <is>
          <t>0</t>
        </is>
      </c>
      <c r="C40" s="215" t="inlineStr">
        <is>
          <t>预计
费用</t>
        </is>
      </c>
      <c r="D40" s="215" t="inlineStr">
        <is>
          <t>实际
费用</t>
        </is>
      </c>
      <c r="E40" s="228" t="inlineStr">
        <is>
          <t>差额</t>
        </is>
      </c>
      <c r="F40" s="213" t="n"/>
      <c r="G40" s="214" t="inlineStr">
        <is>
          <t>0</t>
        </is>
      </c>
      <c r="H40" s="215" t="inlineStr">
        <is>
          <t>预计
费用</t>
        </is>
      </c>
      <c r="I40" s="215" t="inlineStr">
        <is>
          <t>实际
费用</t>
        </is>
      </c>
      <c r="J40" s="228" t="inlineStr">
        <is>
          <t>差额</t>
        </is>
      </c>
    </row>
    <row r="41" ht="30" customHeight="1">
      <c r="A41" s="191" t="n"/>
      <c r="B41" s="218" t="inlineStr">
        <is>
          <t>住宅</t>
        </is>
      </c>
      <c r="C41" s="447" t="n"/>
      <c r="D41" s="447" t="n"/>
      <c r="E41" s="447">
        <f>保险[[#This Row],[预计
费用]]-保险[[#This Row],[实际
费用]]</f>
        <v/>
      </c>
      <c r="F41" s="213" t="n"/>
      <c r="G41" s="218" t="inlineStr">
        <is>
          <t>国税</t>
        </is>
      </c>
      <c r="H41" s="447" t="n"/>
      <c r="I41" s="447" t="n"/>
      <c r="J41" s="447">
        <f>税款[[#This Row],[预计
费用]]-税款[[#This Row],[实际
费用]]</f>
        <v/>
      </c>
    </row>
    <row r="42" ht="30" customHeight="1">
      <c r="A42" s="191" t="n"/>
      <c r="B42" s="218" t="inlineStr">
        <is>
          <t>健康</t>
        </is>
      </c>
      <c r="C42" s="447" t="n"/>
      <c r="D42" s="447" t="n"/>
      <c r="E42" s="447">
        <f>保险[[#This Row],[预计
费用]]-保险[[#This Row],[实际
费用]]</f>
        <v/>
      </c>
      <c r="F42" s="213" t="n"/>
      <c r="G42" s="218" t="inlineStr">
        <is>
          <t>省/市/自治区税</t>
        </is>
      </c>
      <c r="H42" s="447" t="n"/>
      <c r="I42" s="447" t="n"/>
      <c r="J42" s="447">
        <f>税款[[#This Row],[预计
费用]]-税款[[#This Row],[实际
费用]]</f>
        <v/>
      </c>
    </row>
    <row r="43" ht="30" customHeight="1">
      <c r="A43" s="191" t="n"/>
      <c r="B43" s="218" t="inlineStr">
        <is>
          <t>人寿</t>
        </is>
      </c>
      <c r="C43" s="447" t="n"/>
      <c r="D43" s="447" t="n"/>
      <c r="E43" s="447">
        <f>保险[[#This Row],[预计
费用]]-保险[[#This Row],[实际
费用]]</f>
        <v/>
      </c>
      <c r="F43" s="213" t="n"/>
      <c r="G43" s="218" t="inlineStr">
        <is>
          <t>地税</t>
        </is>
      </c>
      <c r="H43" s="447" t="n"/>
      <c r="I43" s="447" t="n"/>
      <c r="J43" s="447">
        <f>税款[[#This Row],[预计
费用]]-税款[[#This Row],[实际
费用]]</f>
        <v/>
      </c>
    </row>
    <row r="44" ht="30" customHeight="1">
      <c r="A44" s="191" t="n"/>
      <c r="B44" s="218" t="inlineStr">
        <is>
          <t>其他</t>
        </is>
      </c>
      <c r="C44" s="447" t="n"/>
      <c r="D44" s="447" t="n"/>
      <c r="E44" s="447">
        <f>保险[[#This Row],[预计
费用]]-保险[[#This Row],[实际
费用]]</f>
        <v/>
      </c>
      <c r="F44" s="213" t="n"/>
      <c r="G44" s="218" t="inlineStr">
        <is>
          <t>其他</t>
        </is>
      </c>
      <c r="H44" s="447" t="n"/>
      <c r="I44" s="447" t="n"/>
      <c r="J44" s="447">
        <f>税款[[#This Row],[预计
费用]]-税款[[#This Row],[实际
费用]]</f>
        <v/>
      </c>
    </row>
    <row r="45" ht="30" customHeight="1">
      <c r="A45" s="191" t="n"/>
      <c r="B45" s="220" t="inlineStr">
        <is>
          <t>小计</t>
        </is>
      </c>
      <c r="C45" s="455" t="n"/>
      <c r="D45" s="455" t="n"/>
      <c r="E45" s="449">
        <f>SUBTOTAL(109,保险[差额])</f>
        <v/>
      </c>
      <c r="F45" s="213" t="n"/>
      <c r="G45" s="220" t="inlineStr">
        <is>
          <t>小计</t>
        </is>
      </c>
      <c r="H45" s="452" t="n"/>
      <c r="I45" s="452" t="n"/>
      <c r="J45" s="449">
        <f>SUBTOTAL(109,税款[差额])</f>
        <v/>
      </c>
    </row>
    <row r="46" ht="38" customHeight="1">
      <c r="A46" s="191" t="n"/>
      <c r="B46" s="236" t="n"/>
      <c r="C46" s="456" t="n"/>
      <c r="D46" s="456" t="n"/>
      <c r="E46" s="447" t="n"/>
      <c r="F46" s="213" t="n"/>
      <c r="G46" s="370" t="n"/>
      <c r="H46" s="370" t="n"/>
      <c r="I46" s="370" t="n"/>
      <c r="J46" s="370" t="n"/>
    </row>
    <row r="47" ht="30" customFormat="1" customHeight="1" s="186">
      <c r="A47" s="191" t="n"/>
      <c r="B47" s="361" t="inlineStr">
        <is>
          <t>食品</t>
        </is>
      </c>
      <c r="F47" s="213" t="n"/>
      <c r="G47" s="363" t="inlineStr">
        <is>
          <t>存款或投资</t>
        </is>
      </c>
    </row>
    <row r="48" ht="50" customHeight="1">
      <c r="A48" s="191" t="n"/>
      <c r="B48" s="238" t="inlineStr">
        <is>
          <t>0</t>
        </is>
      </c>
      <c r="C48" s="215" t="inlineStr">
        <is>
          <t>预计
费用</t>
        </is>
      </c>
      <c r="D48" s="215" t="inlineStr">
        <is>
          <t>实际
费用</t>
        </is>
      </c>
      <c r="E48" s="228" t="inlineStr">
        <is>
          <t>差额</t>
        </is>
      </c>
      <c r="F48" s="213" t="n"/>
      <c r="G48" s="214" t="inlineStr">
        <is>
          <t>0</t>
        </is>
      </c>
      <c r="H48" s="215" t="inlineStr">
        <is>
          <t>预计
费用</t>
        </is>
      </c>
      <c r="I48" s="215" t="inlineStr">
        <is>
          <t>实际
费用</t>
        </is>
      </c>
      <c r="J48" s="228" t="inlineStr">
        <is>
          <t>差额</t>
        </is>
      </c>
    </row>
    <row r="49" ht="30" customHeight="1">
      <c r="A49" s="191" t="n"/>
      <c r="B49" s="218" t="inlineStr">
        <is>
          <t>日用杂货</t>
        </is>
      </c>
      <c r="C49" s="447" t="n"/>
      <c r="D49" s="447" t="n"/>
      <c r="E49" s="447">
        <f>食品[[#This Row],[预计
费用]]-食品[[#This Row],[实际
费用]]</f>
        <v/>
      </c>
      <c r="F49" s="213" t="n"/>
      <c r="G49" s="218" t="inlineStr">
        <is>
          <t>养老金帐户</t>
        </is>
      </c>
      <c r="H49" s="447" t="n"/>
      <c r="I49" s="447" t="n"/>
      <c r="J49" s="447">
        <f>存款[[#This Row],[预计
费用]]-存款[[#This Row],[实际
费用]]</f>
        <v/>
      </c>
    </row>
    <row r="50" ht="30" customHeight="1">
      <c r="A50" s="191" t="n"/>
      <c r="B50" s="218" t="inlineStr">
        <is>
          <t>外出就餐</t>
        </is>
      </c>
      <c r="C50" s="447" t="n"/>
      <c r="D50" s="447" t="n"/>
      <c r="E50" s="447">
        <f>食品[[#This Row],[预计
费用]]-食品[[#This Row],[实际
费用]]</f>
        <v/>
      </c>
      <c r="F50" s="213" t="n"/>
      <c r="G50" s="218" t="inlineStr">
        <is>
          <t>投资帐户</t>
        </is>
      </c>
      <c r="H50" s="447" t="n"/>
      <c r="I50" s="447" t="n"/>
      <c r="J50" s="447">
        <f>存款[[#This Row],[预计
费用]]-存款[[#This Row],[实际
费用]]</f>
        <v/>
      </c>
    </row>
    <row r="51" ht="30" customHeight="1">
      <c r="A51" s="191" t="n"/>
      <c r="B51" s="218" t="inlineStr">
        <is>
          <t>其他</t>
        </is>
      </c>
      <c r="C51" s="447" t="n"/>
      <c r="D51" s="447" t="n"/>
      <c r="E51" s="447">
        <f>食品[[#This Row],[预计
费用]]-食品[[#This Row],[实际
费用]]</f>
        <v/>
      </c>
      <c r="F51" s="213" t="n"/>
      <c r="G51" s="218" t="inlineStr">
        <is>
          <t>其他</t>
        </is>
      </c>
      <c r="H51" s="447" t="n"/>
      <c r="I51" s="447" t="n"/>
      <c r="J51" s="447">
        <f>存款[[#This Row],[预计
费用]]-存款[[#This Row],[实际
费用]]</f>
        <v/>
      </c>
    </row>
    <row r="52" ht="30" customHeight="1">
      <c r="A52" s="191" t="n"/>
      <c r="B52" s="220" t="inlineStr">
        <is>
          <t>小计</t>
        </is>
      </c>
      <c r="C52" s="455" t="n"/>
      <c r="D52" s="455" t="n"/>
      <c r="E52" s="449">
        <f>SUBTOTAL(109,食品[差额])</f>
        <v/>
      </c>
      <c r="F52" s="213" t="n"/>
      <c r="G52" s="220" t="inlineStr">
        <is>
          <t>小计</t>
        </is>
      </c>
      <c r="H52" s="452" t="n"/>
      <c r="I52" s="452" t="n"/>
      <c r="J52" s="449">
        <f>SUBTOTAL(109,存款[差额])</f>
        <v/>
      </c>
    </row>
    <row r="53" ht="38" customHeight="1">
      <c r="A53" s="191" t="n"/>
      <c r="B53" s="239" t="n"/>
      <c r="C53" s="453" t="n"/>
      <c r="D53" s="453" t="n"/>
      <c r="E53" s="453" t="n"/>
      <c r="F53" s="213" t="n"/>
      <c r="G53" s="240" t="n"/>
      <c r="H53" s="457" t="n"/>
      <c r="I53" s="457" t="n"/>
      <c r="J53" s="457" t="n"/>
    </row>
    <row r="54" ht="30" customFormat="1" customHeight="1" s="186">
      <c r="A54" s="191" t="n"/>
      <c r="B54" s="361" t="inlineStr">
        <is>
          <t>宠物</t>
        </is>
      </c>
      <c r="F54" s="213" t="n"/>
      <c r="G54" s="363" t="inlineStr">
        <is>
          <t>礼品和捐赠</t>
        </is>
      </c>
    </row>
    <row r="55" ht="48" customHeight="1">
      <c r="A55" s="191" t="n"/>
      <c r="B55" s="242" t="inlineStr">
        <is>
          <t>0</t>
        </is>
      </c>
      <c r="C55" s="215" t="inlineStr">
        <is>
          <t>预计
费用</t>
        </is>
      </c>
      <c r="D55" s="215" t="inlineStr">
        <is>
          <t>实际
费用</t>
        </is>
      </c>
      <c r="E55" s="228" t="inlineStr">
        <is>
          <t>差额</t>
        </is>
      </c>
      <c r="F55" s="213" t="n"/>
      <c r="G55" s="229" t="inlineStr">
        <is>
          <t>0</t>
        </is>
      </c>
      <c r="H55" s="215" t="inlineStr">
        <is>
          <t>预计
费用</t>
        </is>
      </c>
      <c r="I55" s="215" t="inlineStr">
        <is>
          <t>实际
费用</t>
        </is>
      </c>
      <c r="J55" s="228" t="inlineStr">
        <is>
          <t>差额</t>
        </is>
      </c>
    </row>
    <row r="56" ht="30" customHeight="1">
      <c r="A56" s="191" t="n"/>
      <c r="B56" s="218" t="inlineStr">
        <is>
          <t>食品</t>
        </is>
      </c>
      <c r="C56" s="447" t="n"/>
      <c r="D56" s="447" t="n"/>
      <c r="E56" s="447">
        <f>宠物[[#This Row],[预计
费用]]-宠物[[#This Row],[实际
费用]]</f>
        <v/>
      </c>
      <c r="F56" s="213" t="n"/>
      <c r="G56" s="218" t="inlineStr">
        <is>
          <t>慈善 1</t>
        </is>
      </c>
      <c r="H56" s="447" t="n"/>
      <c r="I56" s="447" t="n"/>
      <c r="J56" s="447">
        <f>礼品[[#This Row],[预计
费用]]-礼品[[#This Row],[实际
费用]]</f>
        <v/>
      </c>
    </row>
    <row r="57" ht="30" customHeight="1">
      <c r="A57" s="191" t="n"/>
      <c r="B57" s="218" t="inlineStr">
        <is>
          <t>医疗</t>
        </is>
      </c>
      <c r="C57" s="447" t="n"/>
      <c r="D57" s="447" t="n"/>
      <c r="E57" s="447">
        <f>宠物[[#This Row],[预计
费用]]-宠物[[#This Row],[实际
费用]]</f>
        <v/>
      </c>
      <c r="F57" s="213" t="n"/>
      <c r="G57" s="218" t="inlineStr">
        <is>
          <t>慈善 2</t>
        </is>
      </c>
      <c r="H57" s="447" t="n"/>
      <c r="I57" s="447" t="n"/>
      <c r="J57" s="447">
        <f>礼品[[#This Row],[预计
费用]]-礼品[[#This Row],[实际
费用]]</f>
        <v/>
      </c>
    </row>
    <row r="58" ht="30" customHeight="1">
      <c r="A58" s="191" t="n"/>
      <c r="B58" s="218" t="inlineStr">
        <is>
          <t>美容</t>
        </is>
      </c>
      <c r="C58" s="447" t="n"/>
      <c r="D58" s="447" t="n"/>
      <c r="E58" s="447">
        <f>宠物[[#This Row],[预计
费用]]-宠物[[#This Row],[实际
费用]]</f>
        <v/>
      </c>
      <c r="F58" s="213" t="n"/>
      <c r="G58" s="218" t="inlineStr">
        <is>
          <t>慈善 3</t>
        </is>
      </c>
      <c r="H58" s="447" t="n"/>
      <c r="I58" s="447" t="n"/>
      <c r="J58" s="447">
        <f>礼品[[#This Row],[预计
费用]]-礼品[[#This Row],[实际
费用]]</f>
        <v/>
      </c>
    </row>
    <row r="59" ht="30" customHeight="1">
      <c r="A59" s="191" t="n"/>
      <c r="B59" s="218" t="inlineStr">
        <is>
          <t>玩具</t>
        </is>
      </c>
      <c r="C59" s="447" t="n"/>
      <c r="D59" s="447" t="n"/>
      <c r="E59" s="447">
        <f>宠物[[#This Row],[预计
费用]]-宠物[[#This Row],[实际
费用]]</f>
        <v/>
      </c>
      <c r="F59" s="213" t="n"/>
      <c r="G59" s="220" t="inlineStr">
        <is>
          <t>小计</t>
        </is>
      </c>
      <c r="H59" s="455" t="n"/>
      <c r="I59" s="455" t="n"/>
      <c r="J59" s="449">
        <f>SUBTOTAL(109,礼品[差额])</f>
        <v/>
      </c>
    </row>
    <row r="60" ht="30" customHeight="1">
      <c r="A60" s="191" t="n"/>
      <c r="B60" s="218" t="inlineStr">
        <is>
          <t>其他</t>
        </is>
      </c>
      <c r="C60" s="447" t="n"/>
      <c r="D60" s="447" t="n"/>
      <c r="E60" s="447">
        <f>宠物[[#This Row],[预计
费用]]-宠物[[#This Row],[实际
费用]]</f>
        <v/>
      </c>
      <c r="F60" s="213" t="n"/>
      <c r="G60" s="225" t="n"/>
      <c r="H60" s="454" t="n"/>
      <c r="I60" s="454" t="n"/>
      <c r="J60" s="451" t="n"/>
    </row>
    <row r="61" ht="30" customHeight="1">
      <c r="A61" s="191" t="n"/>
      <c r="B61" s="220" t="inlineStr">
        <is>
          <t>小计</t>
        </is>
      </c>
      <c r="C61" s="458" t="n"/>
      <c r="D61" s="458" t="n"/>
      <c r="E61" s="458">
        <f>SUBTOTAL(109,宠物[差额])</f>
        <v/>
      </c>
      <c r="F61" s="213" t="n"/>
      <c r="G61" s="225" t="n"/>
      <c r="H61" s="454" t="n"/>
      <c r="I61" s="454" t="n"/>
      <c r="J61" s="451" t="n"/>
    </row>
    <row r="62" ht="38" customHeight="1">
      <c r="A62" s="191" t="n"/>
      <c r="B62" s="233" t="n"/>
      <c r="C62" s="459" t="n"/>
      <c r="D62" s="459" t="n"/>
      <c r="E62" s="459" t="n"/>
      <c r="F62" s="213" t="n"/>
      <c r="G62" s="245" t="n"/>
      <c r="H62" s="454" t="n"/>
      <c r="I62" s="454" t="n"/>
      <c r="J62" s="454" t="n"/>
    </row>
    <row r="63" ht="30" customFormat="1" customHeight="1" s="186">
      <c r="A63" s="191" t="n"/>
      <c r="B63" s="365" t="inlineStr">
        <is>
          <t>个人护理</t>
        </is>
      </c>
      <c r="F63" s="213" t="n"/>
      <c r="G63" s="361" t="inlineStr">
        <is>
          <t>法务</t>
        </is>
      </c>
    </row>
    <row r="64" ht="48" customHeight="1">
      <c r="A64" s="191" t="n"/>
      <c r="B64" s="214" t="inlineStr">
        <is>
          <t>0</t>
        </is>
      </c>
      <c r="C64" s="215" t="inlineStr">
        <is>
          <t>预计
费用</t>
        </is>
      </c>
      <c r="D64" s="215" t="inlineStr">
        <is>
          <t>实际
费用</t>
        </is>
      </c>
      <c r="E64" s="228" t="inlineStr">
        <is>
          <t>差额</t>
        </is>
      </c>
      <c r="F64" s="213" t="n"/>
      <c r="G64" s="246" t="inlineStr">
        <is>
          <t>法务</t>
        </is>
      </c>
      <c r="H64" s="215" t="inlineStr">
        <is>
          <t>预计
费用</t>
        </is>
      </c>
      <c r="I64" s="215" t="inlineStr">
        <is>
          <t>实际
费用</t>
        </is>
      </c>
      <c r="J64" s="228" t="inlineStr">
        <is>
          <t>差额</t>
        </is>
      </c>
    </row>
    <row r="65" ht="30" customHeight="1">
      <c r="A65" s="191" t="n"/>
      <c r="B65" s="218" t="inlineStr">
        <is>
          <t>医疗</t>
        </is>
      </c>
      <c r="C65" s="447" t="n"/>
      <c r="D65" s="447" t="n"/>
      <c r="E65" s="447">
        <f>个人护理[[#This Row],[预计
费用]]-个人护理[[#This Row],[实际
费用]]</f>
        <v/>
      </c>
      <c r="F65" s="213" t="n"/>
      <c r="G65" s="218" t="inlineStr">
        <is>
          <t>律师</t>
        </is>
      </c>
      <c r="H65" s="447" t="n"/>
      <c r="I65" s="447" t="n"/>
      <c r="J65" s="447">
        <f>法务[[#This Row],[预计
费用]]-法务[[#This Row],[实际
费用]]</f>
        <v/>
      </c>
    </row>
    <row r="66" ht="30" customHeight="1">
      <c r="A66" s="191" t="n"/>
      <c r="B66" s="218" t="inlineStr">
        <is>
          <t>美发/美甲</t>
        </is>
      </c>
      <c r="C66" s="447" t="n"/>
      <c r="D66" s="447" t="n"/>
      <c r="E66" s="447">
        <f>个人护理[[#This Row],[预计
费用]]-个人护理[[#This Row],[实际
费用]]</f>
        <v/>
      </c>
      <c r="F66" s="213" t="n"/>
      <c r="G66" s="218" t="inlineStr">
        <is>
          <t>赡养费</t>
        </is>
      </c>
      <c r="H66" s="447" t="n"/>
      <c r="I66" s="447" t="n"/>
      <c r="J66" s="447">
        <f>法务[[#This Row],[预计
费用]]-法务[[#This Row],[实际
费用]]</f>
        <v/>
      </c>
    </row>
    <row r="67" ht="30" customHeight="1">
      <c r="A67" s="191" t="n"/>
      <c r="B67" s="218" t="inlineStr">
        <is>
          <t>服装</t>
        </is>
      </c>
      <c r="C67" s="447" t="n"/>
      <c r="D67" s="447" t="n"/>
      <c r="E67" s="447">
        <f>个人护理[[#This Row],[预计
费用]]-个人护理[[#This Row],[实际
费用]]</f>
        <v/>
      </c>
      <c r="F67" s="213" t="n"/>
      <c r="G67" s="218" t="inlineStr">
        <is>
          <t>抵押或判决付款</t>
        </is>
      </c>
      <c r="H67" s="447" t="n"/>
      <c r="I67" s="447" t="n"/>
      <c r="J67" s="447">
        <f>法务[[#This Row],[预计
费用]]-法务[[#This Row],[实际
费用]]</f>
        <v/>
      </c>
    </row>
    <row r="68" ht="30" customHeight="1">
      <c r="A68" s="191" t="n"/>
      <c r="B68" s="218" t="inlineStr">
        <is>
          <t>干洗</t>
        </is>
      </c>
      <c r="C68" s="447" t="n"/>
      <c r="D68" s="447" t="n"/>
      <c r="E68" s="447">
        <f>个人护理[[#This Row],[预计
费用]]-个人护理[[#This Row],[实际
费用]]</f>
        <v/>
      </c>
      <c r="F68" s="213" t="n"/>
      <c r="G68" s="218" t="inlineStr">
        <is>
          <t>其他</t>
        </is>
      </c>
      <c r="H68" s="447" t="n"/>
      <c r="I68" s="447" t="n"/>
      <c r="J68" s="447">
        <f>法务[[#This Row],[预计
费用]]-法务[[#This Row],[实际
费用]]</f>
        <v/>
      </c>
    </row>
    <row r="69" ht="30" customHeight="1">
      <c r="A69" s="191" t="n"/>
      <c r="B69" s="218" t="inlineStr">
        <is>
          <t>健康俱乐部</t>
        </is>
      </c>
      <c r="C69" s="447" t="n"/>
      <c r="D69" s="447" t="n"/>
      <c r="E69" s="447">
        <f>个人护理[[#This Row],[预计
费用]]-个人护理[[#This Row],[实际
费用]]</f>
        <v/>
      </c>
      <c r="F69" s="213" t="n"/>
      <c r="G69" s="220" t="inlineStr">
        <is>
          <t>小计</t>
        </is>
      </c>
      <c r="H69" s="455" t="n"/>
      <c r="I69" s="455" t="n"/>
      <c r="J69" s="449">
        <f>SUBTOTAL(109,法务[差额])</f>
        <v/>
      </c>
    </row>
    <row r="70" ht="30" customHeight="1">
      <c r="A70" s="191" t="n"/>
      <c r="B70" s="218" t="inlineStr">
        <is>
          <t>组织费</t>
        </is>
      </c>
      <c r="C70" s="447" t="n"/>
      <c r="D70" s="447" t="n"/>
      <c r="E70" s="447">
        <f>个人护理[[#This Row],[预计
费用]]-个人护理[[#This Row],[实际
费用]]</f>
        <v/>
      </c>
      <c r="F70" s="213" t="n"/>
      <c r="G70" s="370" t="n"/>
      <c r="H70" s="370" t="n"/>
      <c r="I70" s="370" t="n"/>
      <c r="J70" s="370" t="n"/>
    </row>
    <row r="71" ht="30" customHeight="1">
      <c r="A71" s="191" t="n"/>
      <c r="B71" s="218" t="inlineStr">
        <is>
          <t>其他</t>
        </is>
      </c>
      <c r="C71" s="447" t="n"/>
      <c r="D71" s="447" t="n"/>
      <c r="E71" s="447">
        <f>个人护理[[#This Row],[预计
费用]]-个人护理[[#This Row],[实际
费用]]</f>
        <v/>
      </c>
      <c r="F71" s="213" t="n"/>
      <c r="G71" s="370" t="n"/>
      <c r="H71" s="370" t="n"/>
      <c r="I71" s="370" t="n"/>
      <c r="J71" s="370" t="n"/>
    </row>
    <row r="72" ht="30" customHeight="1">
      <c r="A72" s="191" t="n"/>
      <c r="B72" s="220" t="inlineStr">
        <is>
          <t>小计</t>
        </is>
      </c>
      <c r="C72" s="455" t="n"/>
      <c r="D72" s="455" t="n"/>
      <c r="E72" s="449">
        <f>SUBTOTAL(109,个人护理[差额])</f>
        <v/>
      </c>
      <c r="F72" s="213" t="n"/>
      <c r="G72" s="370" t="n"/>
      <c r="H72" s="370" t="n"/>
      <c r="I72" s="370" t="n"/>
      <c r="J72" s="370" t="n"/>
    </row>
    <row r="73" ht="30" customHeight="1">
      <c r="A73" s="191" t="n"/>
      <c r="B73" s="249" t="n"/>
      <c r="C73" s="249" t="n"/>
      <c r="D73" s="249" t="n"/>
      <c r="E73" s="249" t="n"/>
      <c r="F73" s="213" t="n"/>
      <c r="G73" s="360" t="inlineStr">
        <is>
          <t>预计总支出</t>
        </is>
      </c>
      <c r="J73" s="460">
        <f>SUBTOTAL(109,住房[预计
费用],交通[预计
费用],保险[预计
费用],食品[预计
费用],宠物[预计
费用],个人护理[预计
费用],娱乐[预计
费用],贷款[预计
费用],税款[预计
费用],存款[预计
费用],礼品[预计
费用],法务[预计
费用])</f>
        <v/>
      </c>
    </row>
    <row r="74" ht="30" customHeight="1">
      <c r="A74" s="191" t="n"/>
      <c r="F74" s="213" t="n"/>
    </row>
    <row r="75" ht="30" customHeight="1">
      <c r="A75" s="191" t="n"/>
      <c r="F75" s="213" t="n"/>
      <c r="G75" s="359" t="inlineStr">
        <is>
          <t>实际总支出</t>
        </is>
      </c>
      <c r="J75" s="461">
        <f>SUBTOTAL(109,住房[实际
费用],交通[实际
费用],保险[实际
费用],食品[实际
费用],宠物[实际
费用],个人护理[实际
费用],娱乐[实际
费用],贷款[实际
费用],税款[实际
费用],存款[实际
费用],礼品[实际
费用],法务[实际
费用])</f>
        <v/>
      </c>
    </row>
    <row r="76" ht="30" customHeight="1">
      <c r="A76" s="191" t="n"/>
      <c r="F76" s="213" t="n"/>
    </row>
    <row r="77" ht="25" customHeight="1">
      <c r="A77" s="191" t="n"/>
      <c r="F77" s="213" t="n"/>
      <c r="G77" s="358" t="inlineStr">
        <is>
          <t>总差额</t>
        </is>
      </c>
      <c r="J77" s="462">
        <f>J73-J75</f>
        <v/>
      </c>
    </row>
    <row r="78" ht="25" customHeight="1">
      <c r="A78" s="191" t="n"/>
      <c r="F78" s="213" t="n"/>
    </row>
    <row r="79" ht="25" customHeight="1">
      <c r="A79" s="191" t="n"/>
      <c r="F79" s="213" t="n"/>
    </row>
    <row r="80" ht="25" customHeight="1">
      <c r="A80" s="191" t="n"/>
      <c r="F80" s="213" t="n"/>
    </row>
    <row r="81" ht="25" customHeight="1">
      <c r="A81" s="191" t="n"/>
      <c r="F81" s="213" t="n"/>
    </row>
  </sheetData>
  <mergeCells count="26">
    <mergeCell ref="J77:J78"/>
    <mergeCell ref="H6:H7"/>
    <mergeCell ref="G75:I76"/>
    <mergeCell ref="G47:J47"/>
    <mergeCell ref="G54:J54"/>
    <mergeCell ref="G63:J63"/>
    <mergeCell ref="G77:I78"/>
    <mergeCell ref="B63:E63"/>
    <mergeCell ref="B54:E54"/>
    <mergeCell ref="E8:G9"/>
    <mergeCell ref="B47:E47"/>
    <mergeCell ref="E4:G5"/>
    <mergeCell ref="J75:J76"/>
    <mergeCell ref="G39:J39"/>
    <mergeCell ref="B39:E39"/>
    <mergeCell ref="B2:H2"/>
    <mergeCell ref="G38:J38"/>
    <mergeCell ref="B9:C9"/>
    <mergeCell ref="G28:J28"/>
    <mergeCell ref="E6:G7"/>
    <mergeCell ref="G73:I74"/>
    <mergeCell ref="H8:H9"/>
    <mergeCell ref="H4:H5"/>
    <mergeCell ref="J73:J74"/>
    <mergeCell ref="B28:E28"/>
    <mergeCell ref="B4:C4"/>
  </mergeCells>
  <dataValidations count="12">
    <dataValidation sqref="A1" showDropDown="0" showInputMessage="1" showErrorMessage="1" allowBlank="1" prompt="在此工作表中创建个人月度预算。有关如何使用此工作表的帮助说明位于此列的单元格中。箭头向下以开始入门。"/>
    <dataValidation sqref="A2" showDropDown="0" showInputMessage="1" showErrorMessage="1" allowBlank="1" prompt="此工作表的标题位于单元格 B2 中。下一条指示位于单元格 A4 中。"/>
    <dataValidation sqref="A4" showDropDown="0" showInputMessage="1" showErrorMessage="1" allowBlank="1" prompt="预计每月收入标签位于右侧单元格中。分别在单元格 C5 和 C6 中输入收入 1 和额外收入，用于计算 C7 中的每月总收入。下一条指示位于单元格 A7 中。"/>
    <dataValidation sqref="A7" showDropDown="0" showInputMessage="1" showErrorMessage="1" allowBlank="1" prompt="预计余额、实际余额和差额分别在单元格 H4、H6 和 H8 中自动进行计算。下一条指示位于单元格 A9 中。"/>
    <dataValidation sqref="A9" showDropDown="0" showInputMessage="1" showErrorMessage="1" allowBlank="1" prompt="实际每月收入标签位于右侧单元格中。分别在单元格 C10 和 C11 中中输入收入 1 和额外收入，用于计算 C12 中的每月总收入。下一条指示位于单元格 A15 中。"/>
    <dataValidation sqref="A15" showDropDown="0" showInputMessage="1" showErrorMessage="1" allowBlank="1" prompt="在“住房”表中从右侧单元格开始输入详细信息，在“娱乐”表中从单元格 G15 开始输入详细信息。下一条指示位于单元格 A29 中。"/>
    <dataValidation sqref="A29" showDropDown="0" showInputMessage="1" showErrorMessage="1" allowBlank="1" prompt="在“交通”表中从右侧单元格开始输入详细信息，在“贷款”表中从单元格 G29 开始输入详细信息。下一条指示位于单元格 A40 中。"/>
    <dataValidation sqref="A40" showDropDown="0" showInputMessage="1" showErrorMessage="1" allowBlank="1" prompt="在“保险”表中从右侧单元格开始输入详细信息，在“税款”表中从单元格 G40 开始输入详细信息。下一条指示位于单元格 A48 中。"/>
    <dataValidation sqref="A48" showDropDown="0" showInputMessage="1" showErrorMessage="1" allowBlank="1" prompt="在“食品”表中从右侧单元格开始输入详细信息，在“存款”表中从单元格 G48 开始输入详细信息。下一条指示位于单元格 A55 中。"/>
    <dataValidation sqref="A55" showDropDown="0" showInputMessage="1" showErrorMessage="1" allowBlank="1" prompt="在“宠物”表中从右侧单元格开始输入详细信息，在“礼品”表中从单元格 G54 开始输入详细信息。下一条指示位于单元格 A64 中。"/>
    <dataValidation sqref="A64" showDropDown="0" showInputMessage="1" showErrorMessage="1" allowBlank="1" prompt="在“个人护理”表中从右侧单元格开始输入详细信息，在“法务”表中从单元格 G64 开始输入详细信息。下一条指示位于单元格 A73 中。"/>
    <dataValidation sqref="A73" showDropDown="0" showInputMessage="1" showErrorMessage="1" allowBlank="1" prompt="总预计支出、总实际支出和总差额分别在单元格 J73、J75 和 J77 中自动进行计算。"/>
  </dataValidations>
  <printOptions horizontalCentered="1"/>
  <pageMargins left="0.4" right="0.4" top="0.4" bottom="0.4" header="0.3" footer="0.5"/>
  <pageSetup orientation="portrait" paperSize="9" fitToHeight="0"/>
  <headerFooter differentFirst="1">
    <oddHeader/>
    <oddFooter>&amp;CPage &amp;P of &amp;N</oddFooter>
    <evenHeader/>
    <evenFooter/>
    <firstHeader/>
    <firstFooter/>
  </headerFooter>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4.xml><?xml version="1.0" encoding="utf-8"?>
<worksheet xmlns="http://schemas.openxmlformats.org/spreadsheetml/2006/main">
  <sheetPr>
    <outlinePr summaryBelow="1" summaryRight="1"/>
    <pageSetUpPr/>
  </sheetPr>
  <dimension ref="A1:K50"/>
  <sheetViews>
    <sheetView showGridLines="0" topLeftCell="A26" workbookViewId="0">
      <selection activeCell="F40" sqref="F40"/>
    </sheetView>
  </sheetViews>
  <sheetFormatPr baseColWidth="10" defaultColWidth="10.1640625" defaultRowHeight="14"/>
  <cols>
    <col width="4.1640625" customWidth="1" style="121" min="1" max="1"/>
    <col width="3.1640625" customWidth="1" style="121" min="2" max="2"/>
    <col width="7.6640625" customWidth="1" style="121" min="3" max="3"/>
    <col width="7.6640625" customWidth="1" style="154" min="4" max="4"/>
    <col width="25.1640625" customWidth="1" style="154" min="5" max="5"/>
    <col width="13.1640625" customWidth="1" style="463" min="6" max="6"/>
    <col width="13.1640625" customWidth="1" style="464" min="7" max="7"/>
    <col width="8.6640625" customWidth="1" style="463" min="8" max="9"/>
    <col width="3.1640625" customWidth="1" style="121" min="10" max="10"/>
    <col width="2" customWidth="1" style="121" min="11" max="11"/>
    <col width="10.1640625" customWidth="1" style="121" min="12" max="16384"/>
  </cols>
  <sheetData>
    <row r="1" ht="100.25" customHeight="1">
      <c r="A1" s="157" t="n"/>
      <c r="B1" s="158" t="n"/>
      <c r="C1" s="158" t="n"/>
      <c r="D1" s="159" t="n"/>
      <c r="E1" s="159" t="n"/>
      <c r="F1" s="465" t="n"/>
      <c r="G1" s="466" t="n"/>
      <c r="H1" s="465" t="n"/>
      <c r="I1" s="465" t="n"/>
      <c r="J1" s="158" t="n"/>
    </row>
    <row r="2" ht="35" customHeight="1">
      <c r="A2" s="157" t="n"/>
      <c r="B2" s="158" t="n"/>
      <c r="C2" s="376" t="inlineStr">
        <is>
          <t>2026化妆工作室</t>
        </is>
      </c>
      <c r="K2" s="121" t="inlineStr">
        <is>
          <t xml:space="preserve"> </t>
        </is>
      </c>
    </row>
    <row r="3" ht="50" customHeight="1">
      <c r="A3" s="157" t="n"/>
      <c r="B3" s="158" t="n"/>
      <c r="C3" s="378" t="inlineStr">
        <is>
          <t>Contoso 利润表</t>
        </is>
      </c>
      <c r="J3" s="158" t="n"/>
    </row>
    <row r="4" ht="30" customHeight="1">
      <c r="A4" s="157" t="n"/>
      <c r="B4" s="158" t="n"/>
      <c r="C4" s="158" t="n"/>
      <c r="D4" s="158" t="n"/>
      <c r="E4" s="158" t="n"/>
      <c r="F4" s="158" t="n"/>
      <c r="G4" s="158" t="n"/>
      <c r="H4" s="158" t="n"/>
      <c r="I4" s="158" t="n"/>
      <c r="J4" s="158" t="n"/>
    </row>
    <row r="5" ht="35" customFormat="1" customHeight="1" s="152">
      <c r="A5" s="162" t="n"/>
      <c r="B5" s="163" t="n"/>
      <c r="C5" s="164" t="inlineStr">
        <is>
          <t>收入</t>
        </is>
      </c>
      <c r="D5" s="165" t="n"/>
      <c r="E5" s="165" t="n"/>
      <c r="F5" s="467" t="n"/>
      <c r="G5" s="468" t="n"/>
      <c r="H5" s="467" t="n"/>
      <c r="I5" s="467" t="n"/>
      <c r="J5" s="184" t="n"/>
    </row>
    <row r="6" ht="18" customHeight="1">
      <c r="A6" s="157" t="n"/>
      <c r="B6" s="158" t="n"/>
      <c r="C6" s="158" t="n"/>
      <c r="D6" s="159" t="n"/>
      <c r="E6" s="159" t="n"/>
      <c r="F6" s="465" t="n"/>
      <c r="G6" s="466" t="n"/>
      <c r="H6" s="465" t="n"/>
      <c r="I6" s="465" t="n"/>
      <c r="J6" s="158" t="n"/>
    </row>
    <row r="7" ht="18" customFormat="1" customHeight="1" s="153">
      <c r="A7" s="168" t="n"/>
      <c r="B7" s="169" t="n"/>
      <c r="C7" s="169" t="n"/>
      <c r="D7" s="170" t="inlineStr">
        <is>
          <t>销售总额</t>
        </is>
      </c>
      <c r="E7" s="170" t="n"/>
      <c r="F7" s="469" t="n"/>
      <c r="G7" s="470" t="n"/>
      <c r="H7" s="471" t="n"/>
      <c r="I7" s="471" t="n"/>
      <c r="J7" s="169" t="n"/>
    </row>
    <row r="8" ht="18" customFormat="1" customHeight="1" s="153">
      <c r="A8" s="168" t="n"/>
      <c r="B8" s="169" t="n"/>
      <c r="C8" s="169" t="n"/>
      <c r="D8" s="174" t="inlineStr">
        <is>
          <t xml:space="preserve">减： </t>
        </is>
      </c>
      <c r="E8" s="175" t="inlineStr">
        <is>
          <t>退货和折让</t>
        </is>
      </c>
      <c r="F8" s="469" t="n"/>
      <c r="G8" s="470" t="n"/>
      <c r="H8" s="471" t="n"/>
      <c r="I8" s="471" t="n"/>
      <c r="J8" s="169" t="n"/>
    </row>
    <row r="9" ht="18" customFormat="1" customHeight="1" s="153">
      <c r="A9" s="168" t="n"/>
      <c r="B9" s="169" t="n"/>
      <c r="C9" s="169" t="n"/>
      <c r="D9" s="170" t="n"/>
      <c r="E9" s="176" t="inlineStr">
        <is>
          <t>净销售额</t>
        </is>
      </c>
      <c r="F9" s="469" t="n"/>
      <c r="G9" s="472">
        <f>F7-F8</f>
        <v/>
      </c>
      <c r="H9" s="473" t="n"/>
      <c r="I9" s="473" t="n"/>
      <c r="J9" s="169" t="n"/>
    </row>
    <row r="10" ht="18" customHeight="1">
      <c r="A10" s="157" t="n"/>
      <c r="B10" s="158" t="n"/>
      <c r="C10" s="158" t="n"/>
      <c r="D10" s="159" t="n"/>
      <c r="E10" s="159" t="n"/>
      <c r="F10" s="465" t="n"/>
      <c r="G10" s="466" t="n"/>
      <c r="H10" s="465" t="n"/>
      <c r="I10" s="465" t="n"/>
      <c r="J10" s="158" t="n"/>
    </row>
    <row r="11" ht="35" customFormat="1" customHeight="1" s="152">
      <c r="A11" s="162" t="n"/>
      <c r="B11" s="163" t="n"/>
      <c r="C11" s="164" t="inlineStr">
        <is>
          <t>所售商品成本</t>
        </is>
      </c>
      <c r="D11" s="165" t="n"/>
      <c r="E11" s="165" t="n"/>
      <c r="F11" s="467" t="n"/>
      <c r="G11" s="468" t="n"/>
      <c r="H11" s="467" t="n"/>
      <c r="I11" s="467" t="n"/>
      <c r="J11" s="184" t="n"/>
    </row>
    <row r="12" ht="18" customHeight="1">
      <c r="A12" s="157" t="n"/>
      <c r="B12" s="158" t="n"/>
      <c r="C12" s="158" t="n"/>
      <c r="D12" s="159" t="n"/>
      <c r="E12" s="159" t="n"/>
      <c r="F12" s="465" t="n"/>
      <c r="G12" s="466" t="n"/>
      <c r="H12" s="465" t="n"/>
      <c r="I12" s="465" t="n"/>
      <c r="J12" s="158" t="n"/>
    </row>
    <row r="13" ht="18" customHeight="1">
      <c r="A13" s="157" t="n"/>
      <c r="B13" s="158" t="n"/>
      <c r="C13" s="158" t="n"/>
      <c r="D13" s="159" t="inlineStr">
        <is>
          <t>期初库存</t>
        </is>
      </c>
      <c r="E13" s="159" t="n"/>
      <c r="F13" s="474" t="n"/>
      <c r="G13" s="466" t="n"/>
      <c r="H13" s="465" t="n"/>
      <c r="I13" s="465" t="n"/>
      <c r="J13" s="158" t="n"/>
    </row>
    <row r="14" ht="18" customHeight="1">
      <c r="A14" s="157" t="n"/>
      <c r="B14" s="158" t="n"/>
      <c r="C14" s="158" t="n"/>
      <c r="D14" s="180" t="inlineStr">
        <is>
          <t>加：</t>
        </is>
      </c>
      <c r="E14" s="159" t="inlineStr">
        <is>
          <t>购买</t>
        </is>
      </c>
      <c r="F14" s="474" t="n"/>
      <c r="G14" s="466" t="n"/>
      <c r="H14" s="465" t="n"/>
      <c r="I14" s="465" t="n"/>
      <c r="J14" s="158" t="n"/>
    </row>
    <row r="15" ht="18" customHeight="1">
      <c r="A15" s="157" t="n"/>
      <c r="B15" s="158" t="n"/>
      <c r="C15" s="158" t="n"/>
      <c r="D15" s="159" t="n"/>
      <c r="E15" s="159" t="inlineStr">
        <is>
          <t>直接人工费</t>
        </is>
      </c>
      <c r="F15" s="474" t="n"/>
      <c r="G15" s="466" t="n"/>
      <c r="H15" s="465" t="n"/>
      <c r="I15" s="465" t="n"/>
      <c r="J15" s="158" t="n"/>
    </row>
    <row r="16" ht="18" customHeight="1">
      <c r="A16" s="157" t="n"/>
      <c r="B16" s="158" t="n"/>
      <c r="C16" s="158" t="n"/>
      <c r="D16" s="159" t="n"/>
      <c r="E16" s="159" t="inlineStr">
        <is>
          <t>间接费用</t>
        </is>
      </c>
      <c r="F16" s="474" t="n"/>
      <c r="G16" s="466" t="n"/>
      <c r="H16" s="465" t="n"/>
      <c r="I16" s="465" t="n"/>
      <c r="J16" s="158" t="n"/>
    </row>
    <row r="17" ht="18" customFormat="1" customHeight="1" s="153">
      <c r="A17" s="168" t="n"/>
      <c r="B17" s="169" t="n"/>
      <c r="C17" s="169" t="n"/>
      <c r="D17" s="170" t="n"/>
      <c r="E17" s="176" t="inlineStr">
        <is>
          <t>可用库存</t>
        </is>
      </c>
      <c r="F17" s="469" t="n"/>
      <c r="G17" s="472">
        <f>SUM(F13:F17)</f>
        <v/>
      </c>
      <c r="H17" s="473" t="n"/>
      <c r="I17" s="473" t="n"/>
      <c r="J17" s="169" t="n"/>
    </row>
    <row r="18" ht="18" customHeight="1">
      <c r="A18" s="157" t="n"/>
      <c r="B18" s="158" t="n"/>
      <c r="C18" s="158" t="n"/>
      <c r="D18" s="159" t="n"/>
      <c r="E18" s="159" t="n"/>
      <c r="F18" s="475" t="n"/>
      <c r="G18" s="466" t="n"/>
      <c r="H18" s="465" t="n"/>
      <c r="I18" s="465" t="n"/>
      <c r="J18" s="158" t="n"/>
    </row>
    <row r="19" ht="18" customHeight="1">
      <c r="A19" s="157" t="n"/>
      <c r="B19" s="158" t="n"/>
      <c r="C19" s="158" t="n"/>
      <c r="D19" s="180" t="inlineStr">
        <is>
          <t>减：</t>
        </is>
      </c>
      <c r="E19" s="159" t="inlineStr">
        <is>
          <t>期末库存</t>
        </is>
      </c>
      <c r="F19" s="474" t="n"/>
      <c r="G19" s="466" t="n"/>
      <c r="H19" s="465" t="n"/>
      <c r="I19" s="465" t="n"/>
      <c r="J19" s="158" t="n"/>
    </row>
    <row r="20" ht="18" customFormat="1" customHeight="1" s="153">
      <c r="A20" s="168" t="n"/>
      <c r="B20" s="169" t="n"/>
      <c r="C20" s="169" t="n"/>
      <c r="D20" s="170" t="n"/>
      <c r="E20" s="176" t="inlineStr">
        <is>
          <t>所售商品成本</t>
        </is>
      </c>
      <c r="F20" s="469" t="n"/>
      <c r="G20" s="472">
        <f>G17-F19</f>
        <v/>
      </c>
      <c r="H20" s="473" t="n"/>
      <c r="I20" s="473" t="n"/>
      <c r="J20" s="169" t="n"/>
    </row>
    <row r="21" ht="18" customHeight="1">
      <c r="A21" s="157" t="n"/>
      <c r="B21" s="158" t="n"/>
      <c r="C21" s="158" t="n"/>
      <c r="D21" s="159" t="n"/>
      <c r="E21" s="182" t="n"/>
      <c r="F21" s="475" t="n"/>
      <c r="G21" s="466" t="n"/>
      <c r="H21" s="465" t="n"/>
      <c r="I21" s="465" t="n"/>
      <c r="J21" s="158" t="n"/>
    </row>
    <row r="22" ht="18" customFormat="1" customHeight="1" s="153">
      <c r="A22" s="168" t="n"/>
      <c r="B22" s="169" t="n"/>
      <c r="C22" s="169" t="n"/>
      <c r="D22" s="170" t="n"/>
      <c r="E22" s="176" t="inlineStr">
        <is>
          <t>总利润（损失）</t>
        </is>
      </c>
      <c r="F22" s="469" t="n"/>
      <c r="G22" s="472">
        <f>G9-G20</f>
        <v/>
      </c>
      <c r="H22" s="473" t="n"/>
      <c r="I22" s="473" t="n"/>
      <c r="J22" s="169" t="n"/>
    </row>
    <row r="23" ht="18" customHeight="1">
      <c r="A23" s="157" t="n"/>
      <c r="B23" s="158" t="n"/>
      <c r="C23" s="158" t="n"/>
      <c r="D23" s="159" t="n"/>
      <c r="E23" s="159" t="n"/>
      <c r="F23" s="465" t="n"/>
      <c r="G23" s="466" t="n"/>
      <c r="H23" s="465" t="n"/>
      <c r="I23" s="465" t="n"/>
      <c r="J23" s="158" t="n"/>
    </row>
    <row r="24" ht="35" customFormat="1" customHeight="1" s="152">
      <c r="A24" s="162" t="n"/>
      <c r="B24" s="163" t="n"/>
      <c r="C24" s="164" t="inlineStr">
        <is>
          <t>支出</t>
        </is>
      </c>
      <c r="D24" s="165" t="n"/>
      <c r="E24" s="165" t="n"/>
      <c r="F24" s="467" t="n"/>
      <c r="G24" s="468" t="n"/>
      <c r="H24" s="467" t="n"/>
      <c r="I24" s="467" t="n"/>
      <c r="J24" s="184" t="n"/>
    </row>
    <row r="25" ht="18" customHeight="1">
      <c r="A25" s="157" t="n"/>
      <c r="B25" s="158" t="n"/>
      <c r="C25" s="158" t="n"/>
      <c r="D25" s="159" t="n"/>
      <c r="E25" s="159" t="n"/>
      <c r="F25" s="465" t="n"/>
      <c r="G25" s="466" t="n"/>
      <c r="H25" s="465" t="n"/>
      <c r="I25" s="465" t="n"/>
      <c r="J25" s="158" t="n"/>
    </row>
    <row r="26" ht="18" customHeight="1">
      <c r="A26" s="157" t="n"/>
      <c r="B26" s="158" t="n"/>
      <c r="C26" s="158" t="n"/>
      <c r="D26" s="159" t="inlineStr">
        <is>
          <t>租金</t>
        </is>
      </c>
      <c r="E26" s="159" t="n"/>
      <c r="F26" s="474" t="n"/>
      <c r="G26" s="466" t="n"/>
      <c r="H26" s="465" t="n"/>
      <c r="I26" s="465" t="n"/>
      <c r="J26" s="158" t="n"/>
    </row>
    <row r="27" ht="18" customHeight="1">
      <c r="A27" s="157" t="n"/>
      <c r="B27" s="158" t="n"/>
      <c r="C27" s="158" t="n"/>
      <c r="D27" s="159" t="inlineStr">
        <is>
          <t>分期还款</t>
        </is>
      </c>
      <c r="E27" s="159" t="n"/>
      <c r="F27" s="474" t="n">
        <v>0</v>
      </c>
      <c r="G27" s="466" t="n"/>
      <c r="H27" s="465" t="n"/>
      <c r="I27" s="465" t="n"/>
      <c r="J27" s="158" t="n"/>
    </row>
    <row r="28" ht="18" customHeight="1">
      <c r="A28" s="157" t="n"/>
      <c r="B28" s="158" t="n"/>
      <c r="C28" s="158" t="n"/>
      <c r="D28" s="159" t="inlineStr">
        <is>
          <t>水电费</t>
        </is>
      </c>
      <c r="E28" s="159" t="n"/>
      <c r="F28" s="474" t="n">
        <v>0</v>
      </c>
      <c r="G28" s="466" t="n"/>
      <c r="H28" s="465" t="n"/>
      <c r="I28" s="465" t="n"/>
      <c r="J28" s="158" t="n"/>
    </row>
    <row r="29" ht="18" customHeight="1">
      <c r="A29" s="157" t="n"/>
      <c r="B29" s="158" t="n"/>
      <c r="C29" s="158" t="n"/>
      <c r="D29" s="159" t="inlineStr">
        <is>
          <t>工资和直接成本</t>
        </is>
      </c>
      <c r="E29" s="159" t="n"/>
      <c r="F29" s="474" t="n">
        <v>0</v>
      </c>
      <c r="G29" s="466" t="n"/>
      <c r="H29" s="465" t="n"/>
      <c r="I29" s="465" t="n"/>
      <c r="J29" s="158" t="n"/>
    </row>
    <row r="30" ht="18" customHeight="1">
      <c r="A30" s="157" t="n"/>
      <c r="B30" s="158" t="n"/>
      <c r="C30" s="158" t="n"/>
      <c r="D30" s="159" t="inlineStr">
        <is>
          <t>佣金</t>
        </is>
      </c>
      <c r="E30" s="159" t="n"/>
      <c r="F30" s="474" t="n">
        <v>0</v>
      </c>
      <c r="G30" s="466" t="n"/>
      <c r="H30" s="465" t="n"/>
      <c r="I30" s="465" t="n"/>
      <c r="J30" s="158" t="n"/>
    </row>
    <row r="31" ht="18" customHeight="1">
      <c r="A31" s="157" t="n"/>
      <c r="B31" s="158" t="n"/>
      <c r="C31" s="158" t="n"/>
      <c r="D31" s="159" t="inlineStr">
        <is>
          <t>日用品</t>
        </is>
      </c>
      <c r="E31" s="159" t="n"/>
      <c r="F31" s="474" t="n">
        <v>0</v>
      </c>
      <c r="G31" s="466" t="n"/>
      <c r="H31" s="465" t="n"/>
      <c r="I31" s="465" t="n"/>
      <c r="J31" s="158" t="n"/>
    </row>
    <row r="32" ht="18" customHeight="1">
      <c r="A32" s="157" t="n"/>
      <c r="B32" s="158" t="n"/>
      <c r="C32" s="158" t="n"/>
      <c r="D32" s="159" t="inlineStr">
        <is>
          <t>市场营销</t>
        </is>
      </c>
      <c r="E32" s="159" t="n"/>
      <c r="F32" s="474" t="n">
        <v>0</v>
      </c>
      <c r="G32" s="466" t="n"/>
      <c r="H32" s="465" t="n"/>
      <c r="I32" s="465" t="n"/>
      <c r="J32" s="158" t="n"/>
    </row>
    <row r="33" ht="18" customHeight="1">
      <c r="A33" s="157" t="n"/>
      <c r="B33" s="158" t="n"/>
      <c r="C33" s="158" t="n"/>
      <c r="D33" s="159" t="inlineStr">
        <is>
          <t>物流</t>
        </is>
      </c>
      <c r="E33" s="159" t="n"/>
      <c r="F33" s="474" t="n">
        <v>0</v>
      </c>
      <c r="G33" s="466" t="n"/>
      <c r="H33" s="465" t="n"/>
      <c r="I33" s="465" t="n"/>
      <c r="J33" s="158" t="n"/>
    </row>
    <row r="34" ht="18" customHeight="1">
      <c r="A34" s="157" t="n"/>
      <c r="B34" s="158" t="n"/>
      <c r="C34" s="158" t="n"/>
      <c r="D34" s="159" t="inlineStr">
        <is>
          <t>修理和维护</t>
        </is>
      </c>
      <c r="E34" s="159" t="n"/>
      <c r="F34" s="474" t="n">
        <v>0</v>
      </c>
      <c r="G34" s="466" t="n"/>
      <c r="H34" s="465" t="n"/>
      <c r="I34" s="465" t="n"/>
      <c r="J34" s="158" t="n"/>
    </row>
    <row r="35" ht="18" customHeight="1">
      <c r="A35" s="157" t="n"/>
      <c r="B35" s="158" t="n"/>
      <c r="C35" s="158" t="n"/>
      <c r="D35" s="159" t="inlineStr">
        <is>
          <t>杂项</t>
        </is>
      </c>
      <c r="E35" s="159" t="n"/>
      <c r="F35" s="474" t="n">
        <v>0</v>
      </c>
      <c r="G35" s="466" t="n"/>
      <c r="H35" s="465" t="n"/>
      <c r="I35" s="465" t="n"/>
      <c r="J35" s="158" t="n"/>
    </row>
    <row r="36" ht="18" customHeight="1">
      <c r="A36" s="157" t="n"/>
      <c r="B36" s="158" t="n"/>
      <c r="C36" s="158" t="n"/>
      <c r="D36" s="159" t="inlineStr">
        <is>
          <t>折旧</t>
        </is>
      </c>
      <c r="E36" s="159" t="n"/>
      <c r="F36" s="474" t="n">
        <v>0</v>
      </c>
      <c r="G36" s="466" t="n"/>
      <c r="H36" s="465" t="n"/>
      <c r="I36" s="465" t="n"/>
      <c r="J36" s="158" t="n"/>
    </row>
    <row r="37" ht="18" customHeight="1">
      <c r="A37" s="157" t="n"/>
      <c r="B37" s="158" t="n"/>
      <c r="C37" s="158" t="n"/>
      <c r="D37" s="159" t="inlineStr">
        <is>
          <t>利息</t>
        </is>
      </c>
      <c r="E37" s="159" t="n"/>
      <c r="F37" s="474" t="n">
        <v>0</v>
      </c>
      <c r="G37" s="466" t="n"/>
      <c r="H37" s="465" t="n"/>
      <c r="I37" s="465" t="n"/>
      <c r="J37" s="158" t="n"/>
    </row>
    <row r="38" ht="18" customFormat="1" customHeight="1" s="153">
      <c r="A38" s="168" t="n"/>
      <c r="B38" s="169" t="n"/>
      <c r="C38" s="169" t="n"/>
      <c r="D38" s="170" t="n"/>
      <c r="E38" s="176" t="inlineStr">
        <is>
          <t>费用总计</t>
        </is>
      </c>
      <c r="F38" s="469" t="n"/>
      <c r="G38" s="472">
        <f>SUM(F26:F38)</f>
        <v/>
      </c>
      <c r="H38" s="473" t="n"/>
      <c r="I38" s="473" t="n"/>
      <c r="J38" s="169" t="n"/>
    </row>
    <row r="39" ht="18" customHeight="1">
      <c r="A39" s="157" t="n"/>
      <c r="B39" s="158" t="n"/>
      <c r="C39" s="158" t="n"/>
      <c r="D39" s="159" t="n"/>
      <c r="E39" s="182" t="n"/>
      <c r="F39" s="475" t="n"/>
      <c r="G39" s="466" t="n"/>
      <c r="H39" s="465" t="n"/>
      <c r="I39" s="465" t="n"/>
      <c r="J39" s="158" t="n"/>
    </row>
    <row r="40" ht="18" customFormat="1" customHeight="1" s="153">
      <c r="A40" s="168" t="n"/>
      <c r="B40" s="169" t="n"/>
      <c r="C40" s="169" t="n"/>
      <c r="D40" s="170" t="n"/>
      <c r="E40" s="176" t="inlineStr">
        <is>
          <t>净营业收入</t>
        </is>
      </c>
      <c r="F40" s="469" t="n"/>
      <c r="G40" s="472">
        <f>G22-G38</f>
        <v/>
      </c>
      <c r="H40" s="473" t="n"/>
      <c r="I40" s="473" t="n"/>
      <c r="J40" s="169" t="n"/>
    </row>
    <row r="41" ht="18" customHeight="1">
      <c r="A41" s="157" t="n"/>
      <c r="B41" s="158" t="n"/>
      <c r="C41" s="158" t="n"/>
      <c r="D41" s="159" t="n"/>
      <c r="E41" s="159" t="n"/>
      <c r="F41" s="465" t="n"/>
      <c r="G41" s="466" t="n"/>
      <c r="H41" s="465" t="n"/>
      <c r="I41" s="465" t="n"/>
      <c r="J41" s="158" t="n"/>
    </row>
    <row r="42" ht="35" customFormat="1" customHeight="1" s="152">
      <c r="A42" s="162" t="n"/>
      <c r="B42" s="163" t="n"/>
      <c r="C42" s="164" t="inlineStr">
        <is>
          <t>其他收入</t>
        </is>
      </c>
      <c r="D42" s="165" t="n"/>
      <c r="E42" s="165" t="n"/>
      <c r="F42" s="467" t="n"/>
      <c r="G42" s="468" t="n"/>
      <c r="H42" s="467" t="n"/>
      <c r="I42" s="467" t="n"/>
      <c r="J42" s="184" t="n"/>
    </row>
    <row r="43" ht="18" customHeight="1">
      <c r="A43" s="157" t="n"/>
      <c r="B43" s="158" t="n"/>
      <c r="C43" s="158" t="n"/>
      <c r="D43" s="159" t="n"/>
      <c r="E43" s="159" t="n"/>
      <c r="F43" s="465" t="n"/>
      <c r="G43" s="466" t="n"/>
      <c r="H43" s="465" t="n"/>
      <c r="I43" s="465" t="n"/>
      <c r="J43" s="158" t="n"/>
    </row>
    <row r="44" ht="18" customHeight="1">
      <c r="A44" s="157" t="n"/>
      <c r="B44" s="158" t="n"/>
      <c r="C44" s="158" t="n"/>
      <c r="D44" s="159" t="inlineStr">
        <is>
          <t>资产销售的收益（损失）</t>
        </is>
      </c>
      <c r="E44" s="159" t="n"/>
      <c r="F44" s="474" t="n"/>
      <c r="G44" s="466" t="n"/>
      <c r="H44" s="465" t="n"/>
      <c r="I44" s="465" t="n"/>
      <c r="J44" s="158" t="n"/>
    </row>
    <row r="45" ht="18" customHeight="1">
      <c r="A45" s="157" t="n"/>
      <c r="B45" s="158" t="n"/>
      <c r="C45" s="158" t="n"/>
      <c r="D45" s="159" t="inlineStr">
        <is>
          <t>利息收益</t>
        </is>
      </c>
      <c r="E45" s="159" t="n"/>
      <c r="F45" s="474" t="n"/>
      <c r="G45" s="466" t="n"/>
      <c r="H45" s="465" t="n"/>
      <c r="I45" s="465" t="n"/>
      <c r="J45" s="158" t="n"/>
    </row>
    <row r="46" ht="18" customFormat="1" customHeight="1" s="153">
      <c r="A46" s="168" t="n"/>
      <c r="B46" s="169" t="n"/>
      <c r="C46" s="169" t="n"/>
      <c r="D46" s="170" t="n"/>
      <c r="E46" s="176" t="inlineStr">
        <is>
          <t>其他收入总额</t>
        </is>
      </c>
      <c r="F46" s="471" t="n"/>
      <c r="G46" s="472">
        <f>SUM(F44:F46)</f>
        <v/>
      </c>
      <c r="H46" s="473" t="n"/>
      <c r="I46" s="473" t="n"/>
      <c r="J46" s="169" t="n"/>
    </row>
    <row r="47" ht="18" customHeight="1">
      <c r="A47" s="157" t="n"/>
      <c r="B47" s="158" t="n"/>
      <c r="C47" s="158" t="n"/>
      <c r="D47" s="159" t="n"/>
      <c r="E47" s="182" t="n"/>
      <c r="F47" s="465" t="n"/>
      <c r="G47" s="466" t="n"/>
      <c r="H47" s="465" t="n"/>
      <c r="I47" s="465" t="n"/>
      <c r="J47" s="158" t="n"/>
    </row>
    <row r="48" ht="18" customFormat="1" customHeight="1" s="153">
      <c r="A48" s="168" t="n"/>
      <c r="B48" s="169" t="n"/>
      <c r="C48" s="169" t="n"/>
      <c r="D48" s="170" t="n"/>
      <c r="E48" s="176" t="inlineStr">
        <is>
          <t>净收入（损失）</t>
        </is>
      </c>
      <c r="F48" s="471" t="n"/>
      <c r="G48" s="476">
        <f>G40+G46</f>
        <v/>
      </c>
      <c r="H48" s="473" t="n"/>
      <c r="I48" s="473" t="n"/>
      <c r="J48" s="169" t="n"/>
    </row>
    <row r="49" ht="18" customHeight="1">
      <c r="A49" s="157" t="n"/>
      <c r="B49" s="158" t="n"/>
      <c r="C49" s="158" t="n"/>
      <c r="D49" s="159" t="n"/>
      <c r="E49" s="182" t="n"/>
      <c r="F49" s="465" t="n"/>
      <c r="G49" s="466" t="n"/>
      <c r="H49" s="465" t="n"/>
      <c r="I49" s="465" t="n"/>
      <c r="J49" s="158" t="n"/>
    </row>
    <row r="50" ht="18" customHeight="1">
      <c r="A50" s="157" t="n"/>
      <c r="B50" s="158" t="n"/>
      <c r="C50" s="158" t="n"/>
      <c r="D50" s="159" t="n"/>
      <c r="E50" s="159" t="n"/>
      <c r="F50" s="465" t="n"/>
      <c r="G50" s="466" t="n"/>
      <c r="H50" s="465" t="n"/>
      <c r="I50" s="465" t="n"/>
      <c r="J50" s="158" t="n"/>
    </row>
  </sheetData>
  <mergeCells count="2">
    <mergeCell ref="C3:I3"/>
    <mergeCell ref="C2:J2"/>
  </mergeCells>
  <conditionalFormatting sqref="F7:G10 F12:G23 F25:G41 F43:G48">
    <cfRule type="cellIs" priority="1" operator="lessThan" dxfId="1">
      <formula>0</formula>
    </cfRule>
  </conditionalFormatting>
  <dataValidations count="1">
    <dataValidation sqref="A1" showDropDown="0" showInputMessage="1" showErrorMessage="1" allowBlank="1" promptTitle="利润表模板" prompt="输入你的公司名称，并输入利润表的时间覆盖范围。_x000a__x000a_在 F 列中带阴影的单元格内输入值。将自动计算所有其他字段。"/>
  </dataValidations>
  <pageMargins left="0.7" right="0.7" top="0.4" bottom="0.4" header="0.3" footer="0.3"/>
  <pageSetup orientation="portrait" paperSize="9" horizontalDpi="300" verticalDpi="300"/>
</worksheet>
</file>

<file path=xl/worksheets/sheet5.xml><?xml version="1.0" encoding="utf-8"?>
<worksheet xmlns="http://schemas.openxmlformats.org/spreadsheetml/2006/main">
  <sheetPr>
    <outlinePr summaryBelow="1" summaryRight="1"/>
    <pageSetUpPr autoPageBreaks="0" fitToPage="1"/>
  </sheetPr>
  <dimension ref="B1:AE14"/>
  <sheetViews>
    <sheetView showGridLines="0" workbookViewId="0">
      <selection activeCell="D7" sqref="D7"/>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317" t="inlineStr">
        <is>
          <t>化妆工作室</t>
        </is>
      </c>
      <c r="J2" s="97" t="n"/>
      <c r="Q2" s="104" t="n"/>
      <c r="R2" s="104" t="n"/>
      <c r="S2" s="104" t="n"/>
      <c r="T2" s="104" t="n"/>
      <c r="U2" s="104" t="n"/>
      <c r="V2" s="104" t="n"/>
      <c r="W2" s="104" t="n"/>
      <c r="X2" s="104" t="n"/>
      <c r="Y2" s="104" t="n"/>
      <c r="Z2" s="104" t="n"/>
      <c r="AA2" s="104" t="n"/>
      <c r="AB2" s="104" t="n"/>
      <c r="AC2" s="104" t="n"/>
    </row>
    <row r="3" ht="10" customHeight="1">
      <c r="B3" s="123" t="n"/>
      <c r="J3" s="97" t="n"/>
      <c r="Q3" s="104" t="n"/>
      <c r="R3" s="104" t="n"/>
      <c r="S3" s="104" t="n"/>
      <c r="T3" s="104" t="n"/>
      <c r="U3" s="104" t="n"/>
      <c r="V3" s="104" t="n"/>
      <c r="W3" s="104" t="n"/>
      <c r="X3" s="104" t="n"/>
      <c r="Y3" s="104" t="n"/>
      <c r="Z3" s="104" t="n"/>
      <c r="AA3" s="104" t="n"/>
      <c r="AB3" s="104" t="n"/>
      <c r="AC3" s="104" t="n"/>
    </row>
    <row r="4" ht="50" customHeight="1">
      <c r="B4" s="139" t="inlineStr">
        <is>
          <t>损益预测</t>
        </is>
      </c>
      <c r="C4" s="84"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40" t="n"/>
      <c r="E5" s="86" t="n"/>
      <c r="G5" s="86" t="n"/>
      <c r="K5" s="86" t="n"/>
      <c r="L5" s="86" t="n"/>
      <c r="M5" s="86" t="n"/>
      <c r="N5" s="86" t="n"/>
      <c r="O5" s="86" t="n"/>
      <c r="X5" s="106" t="n"/>
      <c r="Y5" s="106" t="n"/>
      <c r="Z5" s="106" t="n"/>
      <c r="AA5" s="106" t="n"/>
      <c r="AB5" s="119" t="n"/>
      <c r="AC5" s="119" t="n"/>
      <c r="AD5" s="119" t="n"/>
    </row>
    <row r="6" ht="30" customFormat="1" customHeight="1" s="121">
      <c r="B6" s="141" t="inlineStr">
        <is>
          <t>收入</t>
        </is>
      </c>
      <c r="C6" s="141" t="inlineStr">
        <is>
          <t>趋势</t>
        </is>
      </c>
      <c r="D6" s="142" t="inlineStr">
        <is>
          <t>1 月</t>
        </is>
      </c>
      <c r="E6" s="142" t="inlineStr">
        <is>
          <t>2 月</t>
        </is>
      </c>
      <c r="F6" s="142" t="inlineStr">
        <is>
          <t>3 月</t>
        </is>
      </c>
      <c r="G6" s="142" t="inlineStr">
        <is>
          <t>4 月</t>
        </is>
      </c>
      <c r="H6" s="142" t="inlineStr">
        <is>
          <t>5 月</t>
        </is>
      </c>
      <c r="I6" s="142" t="inlineStr">
        <is>
          <t>6 月</t>
        </is>
      </c>
      <c r="J6" s="142" t="inlineStr">
        <is>
          <t>7 月</t>
        </is>
      </c>
      <c r="K6" s="142" t="inlineStr">
        <is>
          <t>8 月</t>
        </is>
      </c>
      <c r="L6" s="142" t="inlineStr">
        <is>
          <t>9 月</t>
        </is>
      </c>
      <c r="M6" s="142" t="inlineStr">
        <is>
          <t>10 月</t>
        </is>
      </c>
      <c r="N6" s="142" t="inlineStr">
        <is>
          <t>11 月</t>
        </is>
      </c>
      <c r="O6" s="142" t="inlineStr">
        <is>
          <t>12 月</t>
        </is>
      </c>
      <c r="P6" s="142" t="inlineStr">
        <is>
          <t>年度</t>
        </is>
      </c>
      <c r="Q6" s="142" t="inlineStr">
        <is>
          <t>行业百分比</t>
        </is>
      </c>
      <c r="R6" s="142" t="inlineStr">
        <is>
          <t>1 月 %</t>
        </is>
      </c>
      <c r="S6" s="142" t="inlineStr">
        <is>
          <t>2 月 %</t>
        </is>
      </c>
      <c r="T6" s="142" t="inlineStr">
        <is>
          <t>3 月 %</t>
        </is>
      </c>
      <c r="U6" s="142" t="inlineStr">
        <is>
          <t>4 月 %</t>
        </is>
      </c>
      <c r="V6" s="142" t="inlineStr">
        <is>
          <t>5 月 %</t>
        </is>
      </c>
      <c r="W6" s="142" t="inlineStr">
        <is>
          <t>6 月 %</t>
        </is>
      </c>
      <c r="X6" s="142" t="inlineStr">
        <is>
          <t>7 月 %</t>
        </is>
      </c>
      <c r="Y6" s="142" t="inlineStr">
        <is>
          <t>8 月 %</t>
        </is>
      </c>
      <c r="Z6" s="142" t="inlineStr">
        <is>
          <t>9 月 %</t>
        </is>
      </c>
      <c r="AA6" s="142" t="inlineStr">
        <is>
          <t>10 月 %</t>
        </is>
      </c>
      <c r="AB6" s="142" t="inlineStr">
        <is>
          <t>11 月 %</t>
        </is>
      </c>
      <c r="AC6" s="142" t="inlineStr">
        <is>
          <t>12 月 %</t>
        </is>
      </c>
      <c r="AD6" s="142" t="inlineStr">
        <is>
          <t>年度 %</t>
        </is>
      </c>
    </row>
    <row r="7" ht="30" customHeight="1">
      <c r="B7" s="89" t="inlineStr">
        <is>
          <t>收入 1</t>
        </is>
      </c>
      <c r="C7" s="143" t="n"/>
      <c r="D7" s="477" t="n">
        <v>186</v>
      </c>
      <c r="E7" s="477" t="n">
        <v>0</v>
      </c>
      <c r="F7" s="477" t="n">
        <v>0</v>
      </c>
      <c r="G7" s="477" t="n">
        <v>0</v>
      </c>
      <c r="H7" s="477" t="n">
        <v>0</v>
      </c>
      <c r="I7" s="477" t="n">
        <v>0</v>
      </c>
      <c r="J7" s="477" t="n">
        <v>0</v>
      </c>
      <c r="K7" s="477" t="n">
        <v>0</v>
      </c>
      <c r="L7" s="477" t="n">
        <v>0</v>
      </c>
      <c r="M7" s="477" t="n">
        <v>0</v>
      </c>
      <c r="N7" s="477" t="n">
        <v>0</v>
      </c>
      <c r="O7" s="477" t="n">
        <v>0</v>
      </c>
      <c r="P7" s="478">
        <f>SUM(收入[[#This Row],[1 月]:[12 月]])</f>
        <v/>
      </c>
      <c r="Q7" s="149" t="n">
        <v>0.12</v>
      </c>
      <c r="R7" s="150">
        <f>IFERROR(收入[[#This Row],[1 月]]/收入[[#Totals],[1 月]],"-")</f>
        <v/>
      </c>
      <c r="S7" s="150">
        <f>IFERROR(收入[[#This Row],[2 月]]/收入[[#Totals],[2 月]],"-")</f>
        <v/>
      </c>
      <c r="T7" s="150">
        <f>IFERROR(收入[[#This Row],[3 月]]/收入[[#Totals],[3 月]],"-")</f>
        <v/>
      </c>
      <c r="U7" s="150">
        <f>IFERROR(收入[[#This Row],[4 月]]/收入[[#Totals],[4 月]],"-")</f>
        <v/>
      </c>
      <c r="V7" s="150">
        <f>IFERROR(收入[[#This Row],[5 月]]/收入[[#Totals],[5 月]],"-")</f>
        <v/>
      </c>
      <c r="W7" s="150">
        <f>IFERROR(收入[[#This Row],[6 月]]/收入[[#Totals],[6 月]],"-")</f>
        <v/>
      </c>
      <c r="X7" s="150">
        <f>IFERROR(收入[[#This Row],[7 月]]/收入[[#Totals],[7 月]],"-")</f>
        <v/>
      </c>
      <c r="Y7" s="150">
        <f>IFERROR(收入[[#This Row],[8 月]]/收入[[#Totals],[8 月]],"-")</f>
        <v/>
      </c>
      <c r="Z7" s="150">
        <f>IFERROR(收入[[#This Row],[9 月]]/收入[[#Totals],[9 月]],"-")</f>
        <v/>
      </c>
      <c r="AA7" s="150">
        <f>IFERROR(收入[[#This Row],[10 月]]/收入[[#Totals],[10 月]],"-")</f>
        <v/>
      </c>
      <c r="AB7" s="150">
        <f>IFERROR(收入[[#This Row],[11 月]]/收入[[#Totals],[11 月]],"-")</f>
        <v/>
      </c>
      <c r="AC7" s="150">
        <f>IFERROR(收入[[#This Row],[12 月]]/收入[[#Totals],[12 月]],"-")</f>
        <v/>
      </c>
      <c r="AD7" s="150">
        <f>IFERROR(收入[[#This Row],[年度]]/收入[[#Totals],[年度]],"-")</f>
        <v/>
      </c>
    </row>
    <row r="8" ht="30" customHeight="1">
      <c r="B8" s="89" t="inlineStr">
        <is>
          <t>收入 2</t>
        </is>
      </c>
      <c r="C8" s="145" t="n"/>
      <c r="D8" s="477" t="n">
        <v>122</v>
      </c>
      <c r="E8" s="477" t="n">
        <v>0</v>
      </c>
      <c r="F8" s="477" t="n">
        <v>0</v>
      </c>
      <c r="G8" s="477" t="n">
        <v>0</v>
      </c>
      <c r="H8" s="477" t="n">
        <v>0</v>
      </c>
      <c r="I8" s="477" t="n">
        <v>0</v>
      </c>
      <c r="J8" s="477" t="n">
        <v>0</v>
      </c>
      <c r="K8" s="477" t="n">
        <v>0</v>
      </c>
      <c r="L8" s="477" t="n">
        <v>0</v>
      </c>
      <c r="M8" s="477" t="n">
        <v>0</v>
      </c>
      <c r="N8" s="477" t="n">
        <v>0</v>
      </c>
      <c r="O8" s="477" t="n">
        <v>0</v>
      </c>
      <c r="P8" s="479">
        <f>SUM(收入[[#This Row],[1 月]:[12 月]])</f>
        <v/>
      </c>
      <c r="Q8" s="149" t="n">
        <v>0.18</v>
      </c>
      <c r="R8" s="151">
        <f>IFERROR(收入[[#This Row],[1 月]]/收入[[#Totals],[1 月]],"-")</f>
        <v/>
      </c>
      <c r="S8" s="151">
        <f>IFERROR(收入[[#This Row],[2 月]]/收入[[#Totals],[2 月]],"-")</f>
        <v/>
      </c>
      <c r="T8" s="151">
        <f>IFERROR(收入[[#This Row],[3 月]]/收入[[#Totals],[3 月]],"-")</f>
        <v/>
      </c>
      <c r="U8" s="151">
        <f>IFERROR(收入[[#This Row],[4 月]]/收入[[#Totals],[4 月]],"-")</f>
        <v/>
      </c>
      <c r="V8" s="151">
        <f>IFERROR(收入[[#This Row],[5 月]]/收入[[#Totals],[5 月]],"-")</f>
        <v/>
      </c>
      <c r="W8" s="151">
        <f>IFERROR(收入[[#This Row],[6 月]]/收入[[#Totals],[6 月]],"-")</f>
        <v/>
      </c>
      <c r="X8" s="151">
        <f>IFERROR(收入[[#This Row],[7 月]]/收入[[#Totals],[7 月]],"-")</f>
        <v/>
      </c>
      <c r="Y8" s="151">
        <f>IFERROR(收入[[#This Row],[8 月]]/收入[[#Totals],[8 月]],"-")</f>
        <v/>
      </c>
      <c r="Z8" s="151">
        <f>IFERROR(收入[[#This Row],[9 月]]/收入[[#Totals],[9 月]],"-")</f>
        <v/>
      </c>
      <c r="AA8" s="151">
        <f>IFERROR(收入[[#This Row],[10 月]]/收入[[#Totals],[10 月]],"-")</f>
        <v/>
      </c>
      <c r="AB8" s="151">
        <f>IFERROR(收入[[#This Row],[11 月]]/收入[[#Totals],[11 月]],"-")</f>
        <v/>
      </c>
      <c r="AC8" s="151">
        <f>IFERROR(收入[[#This Row],[12 月]]/收入[[#Totals],[12 月]],"-")</f>
        <v/>
      </c>
      <c r="AD8" s="151">
        <f>IFERROR(收入[[#This Row],[年度]]/收入[[#Totals],[年度]],"-")</f>
        <v/>
      </c>
    </row>
    <row r="9" ht="30" customHeight="1">
      <c r="B9" s="89" t="inlineStr">
        <is>
          <t>收入 3</t>
        </is>
      </c>
      <c r="C9" s="145" t="n"/>
      <c r="D9" s="477" t="n">
        <v>166</v>
      </c>
      <c r="E9" s="477" t="n">
        <v>0</v>
      </c>
      <c r="F9" s="477" t="n">
        <v>0</v>
      </c>
      <c r="G9" s="477" t="n">
        <v>0</v>
      </c>
      <c r="H9" s="477" t="n">
        <v>0</v>
      </c>
      <c r="I9" s="477" t="n">
        <v>0</v>
      </c>
      <c r="J9" s="477" t="n">
        <v>0</v>
      </c>
      <c r="K9" s="477" t="n">
        <v>0</v>
      </c>
      <c r="L9" s="477" t="n">
        <v>0</v>
      </c>
      <c r="M9" s="477" t="n">
        <v>0</v>
      </c>
      <c r="N9" s="477" t="n">
        <v>0</v>
      </c>
      <c r="O9" s="477" t="n">
        <v>0</v>
      </c>
      <c r="P9" s="479">
        <f>SUM(收入[[#This Row],[1 月]:[12 月]])</f>
        <v/>
      </c>
      <c r="Q9" s="149" t="n">
        <v>0.19</v>
      </c>
      <c r="R9" s="151">
        <f>IFERROR(收入[[#This Row],[1 月]]/收入[[#Totals],[1 月]],"-")</f>
        <v/>
      </c>
      <c r="S9" s="151">
        <f>IFERROR(收入[[#This Row],[2 月]]/收入[[#Totals],[2 月]],"-")</f>
        <v/>
      </c>
      <c r="T9" s="151">
        <f>IFERROR(收入[[#This Row],[3 月]]/收入[[#Totals],[3 月]],"-")</f>
        <v/>
      </c>
      <c r="U9" s="151">
        <f>IFERROR(收入[[#This Row],[4 月]]/收入[[#Totals],[4 月]],"-")</f>
        <v/>
      </c>
      <c r="V9" s="151">
        <f>IFERROR(收入[[#This Row],[5 月]]/收入[[#Totals],[5 月]],"-")</f>
        <v/>
      </c>
      <c r="W9" s="151">
        <f>IFERROR(收入[[#This Row],[6 月]]/收入[[#Totals],[6 月]],"-")</f>
        <v/>
      </c>
      <c r="X9" s="151">
        <f>IFERROR(收入[[#This Row],[7 月]]/收入[[#Totals],[7 月]],"-")</f>
        <v/>
      </c>
      <c r="Y9" s="151">
        <f>IFERROR(收入[[#This Row],[8 月]]/收入[[#Totals],[8 月]],"-")</f>
        <v/>
      </c>
      <c r="Z9" s="151">
        <f>IFERROR(收入[[#This Row],[9 月]]/收入[[#Totals],[9 月]],"-")</f>
        <v/>
      </c>
      <c r="AA9" s="151">
        <f>IFERROR(收入[[#This Row],[10 月]]/收入[[#Totals],[10 月]],"-")</f>
        <v/>
      </c>
      <c r="AB9" s="151">
        <f>IFERROR(收入[[#This Row],[11 月]]/收入[[#Totals],[11 月]],"-")</f>
        <v/>
      </c>
      <c r="AC9" s="151">
        <f>IFERROR(收入[[#This Row],[12 月]]/收入[[#Totals],[12 月]],"-")</f>
        <v/>
      </c>
      <c r="AD9" s="151">
        <f>IFERROR(收入[[#This Row],[年度]]/收入[[#Totals],[年度]],"-")</f>
        <v/>
      </c>
    </row>
    <row r="10" ht="30" customHeight="1">
      <c r="B10" s="89" t="inlineStr">
        <is>
          <t>收入 4</t>
        </is>
      </c>
      <c r="C10" s="145" t="n"/>
      <c r="D10" s="477" t="n">
        <v>21</v>
      </c>
      <c r="E10" s="477" t="n">
        <v>0</v>
      </c>
      <c r="F10" s="477" t="n">
        <v>0</v>
      </c>
      <c r="G10" s="477" t="n">
        <v>0</v>
      </c>
      <c r="H10" s="477" t="n">
        <v>0</v>
      </c>
      <c r="I10" s="477" t="n">
        <v>0</v>
      </c>
      <c r="J10" s="477" t="n">
        <v>0</v>
      </c>
      <c r="K10" s="477" t="n">
        <v>0</v>
      </c>
      <c r="L10" s="477" t="n">
        <v>0</v>
      </c>
      <c r="M10" s="477" t="n">
        <v>0</v>
      </c>
      <c r="N10" s="477" t="n">
        <v>0</v>
      </c>
      <c r="O10" s="477" t="n">
        <v>0</v>
      </c>
      <c r="P10" s="479">
        <f>SUM(收入[[#This Row],[1 月]:[12 月]])</f>
        <v/>
      </c>
      <c r="Q10" s="149" t="n">
        <v>0.11</v>
      </c>
      <c r="R10" s="151">
        <f>IFERROR(收入[[#This Row],[1 月]]/收入[[#Totals],[1 月]],"-")</f>
        <v/>
      </c>
      <c r="S10" s="151">
        <f>IFERROR(收入[[#This Row],[2 月]]/收入[[#Totals],[2 月]],"-")</f>
        <v/>
      </c>
      <c r="T10" s="151">
        <f>IFERROR(收入[[#This Row],[3 月]]/收入[[#Totals],[3 月]],"-")</f>
        <v/>
      </c>
      <c r="U10" s="151">
        <f>IFERROR(收入[[#This Row],[4 月]]/收入[[#Totals],[4 月]],"-")</f>
        <v/>
      </c>
      <c r="V10" s="151">
        <f>IFERROR(收入[[#This Row],[5 月]]/收入[[#Totals],[5 月]],"-")</f>
        <v/>
      </c>
      <c r="W10" s="151">
        <f>IFERROR(收入[[#This Row],[6 月]]/收入[[#Totals],[6 月]],"-")</f>
        <v/>
      </c>
      <c r="X10" s="151">
        <f>IFERROR(收入[[#This Row],[7 月]]/收入[[#Totals],[7 月]],"-")</f>
        <v/>
      </c>
      <c r="Y10" s="151">
        <f>IFERROR(收入[[#This Row],[8 月]]/收入[[#Totals],[8 月]],"-")</f>
        <v/>
      </c>
      <c r="Z10" s="151">
        <f>IFERROR(收入[[#This Row],[9 月]]/收入[[#Totals],[9 月]],"-")</f>
        <v/>
      </c>
      <c r="AA10" s="151">
        <f>IFERROR(收入[[#This Row],[10 月]]/收入[[#Totals],[10 月]],"-")</f>
        <v/>
      </c>
      <c r="AB10" s="151">
        <f>IFERROR(收入[[#This Row],[11 月]]/收入[[#Totals],[11 月]],"-")</f>
        <v/>
      </c>
      <c r="AC10" s="151">
        <f>IFERROR(收入[[#This Row],[12 月]]/收入[[#Totals],[12 月]],"-")</f>
        <v/>
      </c>
      <c r="AD10" s="151">
        <f>IFERROR(收入[[#This Row],[年度]]/收入[[#Totals],[年度]],"-")</f>
        <v/>
      </c>
    </row>
    <row r="11" ht="30" customHeight="1">
      <c r="B11" s="89" t="inlineStr">
        <is>
          <t>收入 5</t>
        </is>
      </c>
      <c r="C11" s="145" t="n"/>
      <c r="D11" s="477" t="n">
        <v>70</v>
      </c>
      <c r="E11" s="477" t="n">
        <v>0</v>
      </c>
      <c r="F11" s="477" t="n">
        <v>0</v>
      </c>
      <c r="G11" s="477" t="n">
        <v>0</v>
      </c>
      <c r="H11" s="477" t="n">
        <v>0</v>
      </c>
      <c r="I11" s="477" t="n">
        <v>0</v>
      </c>
      <c r="J11" s="477" t="n">
        <v>0</v>
      </c>
      <c r="K11" s="477" t="n">
        <v>0</v>
      </c>
      <c r="L11" s="477" t="n">
        <v>0</v>
      </c>
      <c r="M11" s="477" t="n">
        <v>0</v>
      </c>
      <c r="N11" s="477" t="n">
        <v>0</v>
      </c>
      <c r="O11" s="477" t="n">
        <v>0</v>
      </c>
      <c r="P11" s="479">
        <f>SUM(收入[[#This Row],[1 月]:[12 月]])</f>
        <v/>
      </c>
      <c r="Q11" s="149" t="n">
        <v>0.2</v>
      </c>
      <c r="R11" s="151">
        <f>IFERROR(收入[[#This Row],[1 月]]/收入[[#Totals],[1 月]],"-")</f>
        <v/>
      </c>
      <c r="S11" s="151">
        <f>IFERROR(收入[[#This Row],[2 月]]/收入[[#Totals],[2 月]],"-")</f>
        <v/>
      </c>
      <c r="T11" s="151">
        <f>IFERROR(收入[[#This Row],[3 月]]/收入[[#Totals],[3 月]],"-")</f>
        <v/>
      </c>
      <c r="U11" s="151">
        <f>IFERROR(收入[[#This Row],[4 月]]/收入[[#Totals],[4 月]],"-")</f>
        <v/>
      </c>
      <c r="V11" s="151">
        <f>IFERROR(收入[[#This Row],[5 月]]/收入[[#Totals],[5 月]],"-")</f>
        <v/>
      </c>
      <c r="W11" s="151">
        <f>IFERROR(收入[[#This Row],[6 月]]/收入[[#Totals],[6 月]],"-")</f>
        <v/>
      </c>
      <c r="X11" s="151">
        <f>IFERROR(收入[[#This Row],[7 月]]/收入[[#Totals],[7 月]],"-")</f>
        <v/>
      </c>
      <c r="Y11" s="151">
        <f>IFERROR(收入[[#This Row],[8 月]]/收入[[#Totals],[8 月]],"-")</f>
        <v/>
      </c>
      <c r="Z11" s="151">
        <f>IFERROR(收入[[#This Row],[9 月]]/收入[[#Totals],[9 月]],"-")</f>
        <v/>
      </c>
      <c r="AA11" s="151">
        <f>IFERROR(收入[[#This Row],[10 月]]/收入[[#Totals],[10 月]],"-")</f>
        <v/>
      </c>
      <c r="AB11" s="151">
        <f>IFERROR(收入[[#This Row],[11 月]]/收入[[#Totals],[11 月]],"-")</f>
        <v/>
      </c>
      <c r="AC11" s="151">
        <f>IFERROR(收入[[#This Row],[12 月]]/收入[[#Totals],[12 月]],"-")</f>
        <v/>
      </c>
      <c r="AD11" s="151">
        <f>IFERROR(收入[[#This Row],[年度]]/收入[[#Totals],[年度]],"-")</f>
        <v/>
      </c>
    </row>
    <row r="12" ht="30" customHeight="1">
      <c r="B12" s="89" t="inlineStr">
        <is>
          <t>收入 6</t>
        </is>
      </c>
      <c r="C12" s="145" t="n"/>
      <c r="D12" s="477" t="n">
        <v>61</v>
      </c>
      <c r="E12" s="477" t="n">
        <v>0</v>
      </c>
      <c r="F12" s="477" t="n">
        <v>0</v>
      </c>
      <c r="G12" s="477" t="n">
        <v>0</v>
      </c>
      <c r="H12" s="477" t="n">
        <v>0</v>
      </c>
      <c r="I12" s="477" t="n">
        <v>0</v>
      </c>
      <c r="J12" s="477" t="n">
        <v>0</v>
      </c>
      <c r="K12" s="477" t="n">
        <v>0</v>
      </c>
      <c r="L12" s="477" t="n">
        <v>0</v>
      </c>
      <c r="M12" s="477" t="n">
        <v>0</v>
      </c>
      <c r="N12" s="477" t="n">
        <v>0</v>
      </c>
      <c r="O12" s="477" t="n">
        <v>0</v>
      </c>
      <c r="P12" s="479">
        <f>SUM(收入[[#This Row],[1 月]:[12 月]])</f>
        <v/>
      </c>
      <c r="Q12" s="149" t="n">
        <v>0.1</v>
      </c>
      <c r="R12" s="151">
        <f>IFERROR(收入[[#This Row],[1 月]]/收入[[#Totals],[1 月]],"-")</f>
        <v/>
      </c>
      <c r="S12" s="151">
        <f>IFERROR(收入[[#This Row],[2 月]]/收入[[#Totals],[2 月]],"-")</f>
        <v/>
      </c>
      <c r="T12" s="151">
        <f>IFERROR(收入[[#This Row],[3 月]]/收入[[#Totals],[3 月]],"-")</f>
        <v/>
      </c>
      <c r="U12" s="151">
        <f>IFERROR(收入[[#This Row],[4 月]]/收入[[#Totals],[4 月]],"-")</f>
        <v/>
      </c>
      <c r="V12" s="151">
        <f>IFERROR(收入[[#This Row],[5 月]]/收入[[#Totals],[5 月]],"-")</f>
        <v/>
      </c>
      <c r="W12" s="151">
        <f>IFERROR(收入[[#This Row],[6 月]]/收入[[#Totals],[6 月]],"-")</f>
        <v/>
      </c>
      <c r="X12" s="151">
        <f>IFERROR(收入[[#This Row],[7 月]]/收入[[#Totals],[7 月]],"-")</f>
        <v/>
      </c>
      <c r="Y12" s="151">
        <f>IFERROR(收入[[#This Row],[8 月]]/收入[[#Totals],[8 月]],"-")</f>
        <v/>
      </c>
      <c r="Z12" s="151">
        <f>IFERROR(收入[[#This Row],[9 月]]/收入[[#Totals],[9 月]],"-")</f>
        <v/>
      </c>
      <c r="AA12" s="151">
        <f>IFERROR(收入[[#This Row],[10 月]]/收入[[#Totals],[10 月]],"-")</f>
        <v/>
      </c>
      <c r="AB12" s="151">
        <f>IFERROR(收入[[#This Row],[11 月]]/收入[[#Totals],[11 月]],"-")</f>
        <v/>
      </c>
      <c r="AC12" s="151">
        <f>IFERROR(收入[[#This Row],[12 月]]/收入[[#Totals],[12 月]],"-")</f>
        <v/>
      </c>
      <c r="AD12" s="151">
        <f>IFERROR(收入[[#This Row],[年度]]/收入[[#Totals],[年度]],"-")</f>
        <v/>
      </c>
    </row>
    <row r="13" ht="30" customHeight="1">
      <c r="B13" s="89" t="inlineStr">
        <is>
          <t>收入 7</t>
        </is>
      </c>
      <c r="C13" s="145" t="n"/>
      <c r="D13" s="477" t="n">
        <v>105</v>
      </c>
      <c r="E13" s="477" t="n">
        <v>0</v>
      </c>
      <c r="F13" s="477" t="n">
        <v>0</v>
      </c>
      <c r="G13" s="477" t="n">
        <v>0</v>
      </c>
      <c r="H13" s="477" t="n">
        <v>0</v>
      </c>
      <c r="I13" s="477" t="n">
        <v>0</v>
      </c>
      <c r="J13" s="477" t="n">
        <v>0</v>
      </c>
      <c r="K13" s="477" t="n">
        <v>0</v>
      </c>
      <c r="L13" s="477" t="n">
        <v>0</v>
      </c>
      <c r="M13" s="477" t="n">
        <v>0</v>
      </c>
      <c r="N13" s="477" t="n">
        <v>0</v>
      </c>
      <c r="O13" s="477" t="n">
        <v>0</v>
      </c>
      <c r="P13" s="479">
        <f>SUM(收入[[#This Row],[1 月]:[12 月]])</f>
        <v/>
      </c>
      <c r="Q13" s="149" t="n">
        <v>0.1</v>
      </c>
      <c r="R13" s="151">
        <f>IFERROR(收入[[#This Row],[1 月]]/收入[[#Totals],[1 月]],"-")</f>
        <v/>
      </c>
      <c r="S13" s="151">
        <f>IFERROR(收入[[#This Row],[2 月]]/收入[[#Totals],[2 月]],"-")</f>
        <v/>
      </c>
      <c r="T13" s="151">
        <f>IFERROR(收入[[#This Row],[3 月]]/收入[[#Totals],[3 月]],"-")</f>
        <v/>
      </c>
      <c r="U13" s="151">
        <f>IFERROR(收入[[#This Row],[4 月]]/收入[[#Totals],[4 月]],"-")</f>
        <v/>
      </c>
      <c r="V13" s="151">
        <f>IFERROR(收入[[#This Row],[5 月]]/收入[[#Totals],[5 月]],"-")</f>
        <v/>
      </c>
      <c r="W13" s="151">
        <f>IFERROR(收入[[#This Row],[6 月]]/收入[[#Totals],[6 月]],"-")</f>
        <v/>
      </c>
      <c r="X13" s="151">
        <f>IFERROR(收入[[#This Row],[7 月]]/收入[[#Totals],[7 月]],"-")</f>
        <v/>
      </c>
      <c r="Y13" s="151">
        <f>IFERROR(收入[[#This Row],[8 月]]/收入[[#Totals],[8 月]],"-")</f>
        <v/>
      </c>
      <c r="Z13" s="151">
        <f>IFERROR(收入[[#This Row],[9 月]]/收入[[#Totals],[9 月]],"-")</f>
        <v/>
      </c>
      <c r="AA13" s="151">
        <f>IFERROR(收入[[#This Row],[10 月]]/收入[[#Totals],[10 月]],"-")</f>
        <v/>
      </c>
      <c r="AB13" s="151">
        <f>IFERROR(收入[[#This Row],[11 月]]/收入[[#Totals],[11 月]],"-")</f>
        <v/>
      </c>
      <c r="AC13" s="151">
        <f>IFERROR(收入[[#This Row],[12 月]]/收入[[#Totals],[12 月]],"-")</f>
        <v/>
      </c>
      <c r="AD13" s="151">
        <f>IFERROR(收入[[#This Row],[年度]]/收入[[#Totals],[年度]],"-")</f>
        <v/>
      </c>
    </row>
    <row r="14" ht="30" customFormat="1" customHeight="1" s="77">
      <c r="B14" s="87" t="inlineStr">
        <is>
          <t>总销售额</t>
        </is>
      </c>
      <c r="C14" s="146" t="n"/>
      <c r="D14" s="480">
        <f>SUBTOTAL(109,收入[1 月])</f>
        <v/>
      </c>
      <c r="E14" s="480">
        <f>SUBTOTAL(109,收入[2 月])</f>
        <v/>
      </c>
      <c r="F14" s="480">
        <f>SUBTOTAL(109,收入[3 月])</f>
        <v/>
      </c>
      <c r="G14" s="480">
        <f>SUBTOTAL(109,收入[4 月])</f>
        <v/>
      </c>
      <c r="H14" s="480">
        <f>SUBTOTAL(109,收入[5 月])</f>
        <v/>
      </c>
      <c r="I14" s="480">
        <f>SUBTOTAL(109,收入[6 月])</f>
        <v/>
      </c>
      <c r="J14" s="480">
        <f>SUBTOTAL(109,收入[7 月])</f>
        <v/>
      </c>
      <c r="K14" s="480">
        <f>SUBTOTAL(109,收入[8 月])</f>
        <v/>
      </c>
      <c r="L14" s="480">
        <f>SUBTOTAL(109,收入[9 月])</f>
        <v/>
      </c>
      <c r="M14" s="480">
        <f>SUBTOTAL(109,收入[10 月])</f>
        <v/>
      </c>
      <c r="N14" s="480">
        <f>SUBTOTAL(109,收入[11 月])</f>
        <v/>
      </c>
      <c r="O14" s="480">
        <f>SUBTOTAL(109,收入[12 月])</f>
        <v/>
      </c>
      <c r="P14" s="480">
        <f>SUBTOTAL(109,收入[年度])</f>
        <v/>
      </c>
      <c r="Q14" s="112">
        <f>SUBTOTAL(109,收入[行业百分比])</f>
        <v/>
      </c>
      <c r="R14" s="112">
        <f>SUBTOTAL(109,收入[1 月 %])</f>
        <v/>
      </c>
      <c r="S14" s="112">
        <f>SUBTOTAL(109,收入[2 月 %])</f>
        <v/>
      </c>
      <c r="T14" s="112">
        <f>SUBTOTAL(109,收入[3 月 %])</f>
        <v/>
      </c>
      <c r="U14" s="112">
        <f>SUBTOTAL(109,收入[4 月 %])</f>
        <v/>
      </c>
      <c r="V14" s="112">
        <f>SUBTOTAL(109,收入[5 月 %])</f>
        <v/>
      </c>
      <c r="W14" s="112">
        <f>SUBTOTAL(109,收入[6 月 %])</f>
        <v/>
      </c>
      <c r="X14" s="112">
        <f>SUBTOTAL(109,收入[7 月 %])</f>
        <v/>
      </c>
      <c r="Y14" s="112">
        <f>SUBTOTAL(109,收入[8 月 %])</f>
        <v/>
      </c>
      <c r="Z14" s="112">
        <f>SUBTOTAL(109,收入[9 月 %])</f>
        <v/>
      </c>
      <c r="AA14" s="112">
        <f>SUBTOTAL(109,收入[10 月 %])</f>
        <v/>
      </c>
      <c r="AB14" s="112">
        <f>SUBTOTAL(109,收入[11 月 %])</f>
        <v/>
      </c>
      <c r="AC14" s="112">
        <f>SUBTOTAL(109,收入[12 月 %])</f>
        <v/>
      </c>
      <c r="AD14" s="112">
        <f>SUBTOTAL(109,收入[年度 %])</f>
        <v/>
      </c>
    </row>
  </sheetData>
  <dataValidations count="9">
    <dataValidation sqref="A1" showDropDown="0" showInputMessage="1" showErrorMessage="1" allowBlank="1" prompt="此工作表计算不同源的每月总销售额、每年总销售额以及年度总销售额。"/>
    <dataValidation sqref="B2" showDropDown="0" showInputMessage="1" showErrorMessage="1" allowBlank="1" prompt="在此单元格中输入公司名称"/>
    <dataValidation sqref="B4" showDropDown="0" showInputMessage="1" showErrorMessage="1" allowBlank="1" prompt="预测标题位于此单元格中。在下面的“收入”表中输入值以计算总销售额"/>
    <dataValidation sqref="B6" showDropDown="0" showInputMessage="1" showErrorMessage="1" allowBlank="1" prompt="在此列中输入销售产生的收入"/>
    <dataValidation sqref="C6" showDropDown="0" showInputMessage="1" showErrorMessage="1" allowBlank="1" prompt="此列是随时间推移的收入趋势图"/>
    <dataValidation sqref="P6" showDropDown="0" showInputMessage="1" showErrorMessage="1" allowBlank="1" prompt="“年收入”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销售额占该月总销售额的比例"/>
    <dataValidation sqref="AD6" showDropDown="0" showInputMessage="1" showErrorMessage="1" allowBlank="1" prompt="在此列中自动计算不同源的销售额占该年总销售额的比例"/>
  </dataValidations>
  <printOptions horizontalCentered="1"/>
  <pageMargins left="0.25" right="0.25" top="0.75" bottom="0.75" header="0.3" footer="0.3"/>
  <pageSetup orientation="landscape" paperSize="9" fitToHeight="0"/>
  <headerFooter differentFirst="1">
    <oddHeader/>
    <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B1:AE17"/>
  <sheetViews>
    <sheetView showGridLines="0" zoomScale="105" zoomScaleNormal="105" workbookViewId="0">
      <selection activeCell="C9" sqref="C9"/>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123">
        <f>Company_Name</f>
        <v/>
      </c>
      <c r="C2" s="123" t="n"/>
      <c r="J2" s="97" t="n"/>
      <c r="Q2" s="104" t="n"/>
      <c r="R2" s="104" t="n"/>
      <c r="S2" s="104" t="n"/>
      <c r="T2" s="104" t="n"/>
      <c r="U2" s="104" t="n"/>
      <c r="V2" s="104" t="n"/>
      <c r="W2" s="104" t="n"/>
      <c r="X2" s="104" t="n"/>
      <c r="Y2" s="104" t="n"/>
      <c r="Z2" s="104" t="n"/>
      <c r="AA2" s="104" t="n"/>
      <c r="AB2" s="104" t="n"/>
      <c r="AC2" s="104" t="n"/>
      <c r="AD2" s="137" t="n"/>
    </row>
    <row r="3" ht="10" customHeight="1">
      <c r="B3" s="81" t="n"/>
      <c r="C3" s="82" t="n"/>
      <c r="J3" s="97" t="n"/>
      <c r="Q3" s="104" t="n"/>
      <c r="R3" s="104" t="n"/>
      <c r="S3" s="104" t="n"/>
      <c r="T3" s="104" t="n"/>
      <c r="U3" s="104" t="n"/>
      <c r="V3" s="104" t="n"/>
      <c r="W3" s="104" t="n"/>
      <c r="X3" s="104" t="n"/>
      <c r="Y3" s="104" t="n"/>
      <c r="Z3" s="104" t="n"/>
      <c r="AA3" s="104" t="n"/>
      <c r="AB3" s="104" t="n"/>
      <c r="AC3" s="104" t="n"/>
      <c r="AD3" s="13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24" t="n"/>
      <c r="C5" s="124" t="n"/>
      <c r="E5" s="86" t="n"/>
      <c r="G5" s="86" t="n"/>
      <c r="K5" s="86" t="n"/>
      <c r="L5" s="86" t="n"/>
      <c r="M5" s="86" t="n"/>
      <c r="N5" s="86" t="n"/>
      <c r="O5" s="86" t="n"/>
      <c r="X5" s="106" t="n"/>
      <c r="Y5" s="106" t="n"/>
      <c r="Z5" s="106" t="n"/>
      <c r="AA5" s="106" t="n"/>
      <c r="AB5" s="119" t="n"/>
      <c r="AC5" s="119" t="n"/>
      <c r="AD5" s="119" t="n"/>
    </row>
    <row r="6" ht="30" customFormat="1" customHeight="1" s="121">
      <c r="B6" s="87" t="inlineStr">
        <is>
          <t>成本</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Height="1">
      <c r="B7" s="89" t="inlineStr">
        <is>
          <t>购买费用</t>
        </is>
      </c>
      <c r="C7" s="125" t="n"/>
      <c r="D7" s="481" t="n">
        <v>61</v>
      </c>
      <c r="E7" s="481" t="n">
        <v>0</v>
      </c>
      <c r="F7" s="481" t="n">
        <v>0</v>
      </c>
      <c r="G7" s="481" t="n">
        <v>620.6</v>
      </c>
      <c r="H7" s="481" t="n">
        <v>13955.73</v>
      </c>
      <c r="I7" s="481" t="n">
        <v>0</v>
      </c>
      <c r="J7" s="481" t="n">
        <v>0</v>
      </c>
      <c r="K7" s="481" t="n">
        <v>0</v>
      </c>
      <c r="L7" s="481" t="n">
        <v>0</v>
      </c>
      <c r="M7" s="481" t="n">
        <v>0</v>
      </c>
      <c r="N7" s="481" t="n">
        <v>0</v>
      </c>
      <c r="O7" s="481" t="n">
        <v>0</v>
      </c>
      <c r="P7" s="482">
        <f>SUM(CostofSales[[#This Row],[1 月]:[12 月]])</f>
        <v/>
      </c>
      <c r="Q7" s="107" t="n">
        <v>0.12</v>
      </c>
      <c r="R7" s="133">
        <f>D7/D$14</f>
        <v/>
      </c>
      <c r="S7" s="133">
        <f>E7/E$14</f>
        <v/>
      </c>
      <c r="T7" s="133">
        <f>F7/F$14</f>
        <v/>
      </c>
      <c r="U7" s="133">
        <f>G7/G$14</f>
        <v/>
      </c>
      <c r="V7" s="133">
        <f>H7/H$14</f>
        <v/>
      </c>
      <c r="W7" s="133">
        <f>I7/I$14</f>
        <v/>
      </c>
      <c r="X7" s="133">
        <f>J7/J$14</f>
        <v/>
      </c>
      <c r="Y7" s="133">
        <f>K7/K$14</f>
        <v/>
      </c>
      <c r="Z7" s="133">
        <f>L7/L$14</f>
        <v/>
      </c>
      <c r="AA7" s="133">
        <f>M7/M$14</f>
        <v/>
      </c>
      <c r="AB7" s="133">
        <f>N7/N$14</f>
        <v/>
      </c>
      <c r="AC7" s="133">
        <f>O7/O$14</f>
        <v/>
      </c>
      <c r="AD7" s="133">
        <f>P7/P$14</f>
        <v/>
      </c>
    </row>
    <row r="8" ht="30" customHeight="1">
      <c r="B8" s="89" t="inlineStr">
        <is>
          <t>直接人工费</t>
        </is>
      </c>
      <c r="C8" s="126" t="n"/>
      <c r="D8" s="481" t="n">
        <v>7</v>
      </c>
      <c r="E8" s="481" t="n">
        <v>0</v>
      </c>
      <c r="F8" s="481" t="n">
        <v>0</v>
      </c>
      <c r="G8" s="481" t="n">
        <v>0</v>
      </c>
      <c r="H8" s="481" t="n">
        <v>0</v>
      </c>
      <c r="I8" s="481" t="n">
        <v>0</v>
      </c>
      <c r="J8" s="481" t="n">
        <v>0</v>
      </c>
      <c r="K8" s="481" t="n">
        <v>0</v>
      </c>
      <c r="L8" s="481" t="n">
        <v>0</v>
      </c>
      <c r="M8" s="481" t="n">
        <v>0</v>
      </c>
      <c r="N8" s="481" t="n">
        <v>0</v>
      </c>
      <c r="O8" s="481" t="n">
        <v>0</v>
      </c>
      <c r="P8" s="483">
        <f>SUM(CostofSales[[#This Row],[1 月]:[12 月]])</f>
        <v/>
      </c>
      <c r="Q8" s="107" t="n">
        <v>0.18</v>
      </c>
      <c r="R8" s="134">
        <f>D8/D$14</f>
        <v/>
      </c>
      <c r="S8" s="134">
        <f>E8/E$14</f>
        <v/>
      </c>
      <c r="T8" s="134">
        <f>F8/F$14</f>
        <v/>
      </c>
      <c r="U8" s="134">
        <f>G8/G$14</f>
        <v/>
      </c>
      <c r="V8" s="134">
        <f>H8/H$14</f>
        <v/>
      </c>
      <c r="W8" s="134">
        <f>I8/I$14</f>
        <v/>
      </c>
      <c r="X8" s="134">
        <f>J8/J$14</f>
        <v/>
      </c>
      <c r="Y8" s="134">
        <f>K8/K$14</f>
        <v/>
      </c>
      <c r="Z8" s="134">
        <f>L8/L$14</f>
        <v/>
      </c>
      <c r="AA8" s="134">
        <f>M8/M$14</f>
        <v/>
      </c>
      <c r="AB8" s="134">
        <f>N8/N$14</f>
        <v/>
      </c>
      <c r="AC8" s="134">
        <f>O8/O$14</f>
        <v/>
      </c>
      <c r="AD8" s="134">
        <f>P8/P$14</f>
        <v/>
      </c>
    </row>
    <row r="9" ht="30" customHeight="1">
      <c r="B9" s="89" t="inlineStr">
        <is>
          <t>间接费用</t>
        </is>
      </c>
      <c r="C9" s="126" t="n"/>
      <c r="D9" s="481" t="n">
        <v>99</v>
      </c>
      <c r="E9" s="481" t="n">
        <v>0</v>
      </c>
      <c r="F9" s="481" t="n">
        <v>0</v>
      </c>
      <c r="G9" s="481" t="n">
        <v>0</v>
      </c>
      <c r="H9" s="481" t="n">
        <v>0</v>
      </c>
      <c r="I9" s="481" t="n">
        <v>0</v>
      </c>
      <c r="J9" s="481" t="n">
        <v>0</v>
      </c>
      <c r="K9" s="481" t="n">
        <v>0</v>
      </c>
      <c r="L9" s="481" t="n">
        <v>0</v>
      </c>
      <c r="M9" s="481" t="n">
        <v>0</v>
      </c>
      <c r="N9" s="481" t="n">
        <v>0</v>
      </c>
      <c r="O9" s="481" t="n">
        <v>0</v>
      </c>
      <c r="P9" s="483">
        <f>SUM(CostofSales[[#This Row],[1 月]:[12 月]])</f>
        <v/>
      </c>
      <c r="Q9" s="107" t="n">
        <v>0.19</v>
      </c>
      <c r="R9" s="134">
        <f>D9/D$14</f>
        <v/>
      </c>
      <c r="S9" s="134">
        <f>E9/E$14</f>
        <v/>
      </c>
      <c r="T9" s="134">
        <f>F9/F$14</f>
        <v/>
      </c>
      <c r="U9" s="134">
        <f>G9/G$14</f>
        <v/>
      </c>
      <c r="V9" s="134">
        <f>H9/H$14</f>
        <v/>
      </c>
      <c r="W9" s="134">
        <f>I9/I$14</f>
        <v/>
      </c>
      <c r="X9" s="134">
        <f>J9/J$14</f>
        <v/>
      </c>
      <c r="Y9" s="134">
        <f>K9/K$14</f>
        <v/>
      </c>
      <c r="Z9" s="134">
        <f>L9/L$14</f>
        <v/>
      </c>
      <c r="AA9" s="134">
        <f>M9/M$14</f>
        <v/>
      </c>
      <c r="AB9" s="134">
        <f>N9/N$14</f>
        <v/>
      </c>
      <c r="AC9" s="134">
        <f>O9/O$14</f>
        <v/>
      </c>
      <c r="AD9" s="134">
        <f>P9/P$14</f>
        <v/>
      </c>
    </row>
    <row r="10" ht="30" customHeight="1">
      <c r="B10" s="89" t="inlineStr">
        <is>
          <t>退货</t>
        </is>
      </c>
      <c r="C10" s="126" t="n"/>
      <c r="D10" s="481" t="n">
        <v>13</v>
      </c>
      <c r="E10" s="481" t="n">
        <v>0</v>
      </c>
      <c r="F10" s="481" t="n">
        <v>0</v>
      </c>
      <c r="G10" s="481" t="n">
        <v>0</v>
      </c>
      <c r="H10" s="481" t="n">
        <v>0</v>
      </c>
      <c r="I10" s="481" t="n">
        <v>0</v>
      </c>
      <c r="J10" s="481" t="n">
        <v>0</v>
      </c>
      <c r="K10" s="481" t="n">
        <v>0</v>
      </c>
      <c r="L10" s="481" t="n">
        <v>0</v>
      </c>
      <c r="M10" s="481" t="n">
        <v>0</v>
      </c>
      <c r="N10" s="481" t="n">
        <v>0</v>
      </c>
      <c r="O10" s="481" t="n">
        <v>0</v>
      </c>
      <c r="P10" s="483">
        <f>SUM(CostofSales[[#This Row],[1 月]:[12 月]])</f>
        <v/>
      </c>
      <c r="Q10" s="107" t="n">
        <v>0.11</v>
      </c>
      <c r="R10" s="134">
        <f>D10/D$14</f>
        <v/>
      </c>
      <c r="S10" s="134">
        <f>E10/E$14</f>
        <v/>
      </c>
      <c r="T10" s="134">
        <f>F10/F$14</f>
        <v/>
      </c>
      <c r="U10" s="134">
        <f>G10/G$14</f>
        <v/>
      </c>
      <c r="V10" s="134">
        <f>H10/H$14</f>
        <v/>
      </c>
      <c r="W10" s="134">
        <f>I10/I$14</f>
        <v/>
      </c>
      <c r="X10" s="134">
        <f>J10/J$14</f>
        <v/>
      </c>
      <c r="Y10" s="134">
        <f>K10/K$14</f>
        <v/>
      </c>
      <c r="Z10" s="134">
        <f>L10/L$14</f>
        <v/>
      </c>
      <c r="AA10" s="134">
        <f>M10/M$14</f>
        <v/>
      </c>
      <c r="AB10" s="134">
        <f>N10/N$14</f>
        <v/>
      </c>
      <c r="AC10" s="134">
        <f>O10/O$14</f>
        <v/>
      </c>
      <c r="AD10" s="134">
        <f>P10/P$14</f>
        <v/>
      </c>
    </row>
    <row r="11" ht="30" customHeight="1">
      <c r="B11" s="89" t="inlineStr">
        <is>
          <t>初期库存</t>
        </is>
      </c>
      <c r="C11" s="126" t="n"/>
      <c r="D11" s="481" t="n">
        <v>34</v>
      </c>
      <c r="E11" s="481" t="n">
        <v>0</v>
      </c>
      <c r="F11" s="481" t="n">
        <v>0</v>
      </c>
      <c r="G11" s="481" t="n">
        <v>0</v>
      </c>
      <c r="H11" s="481" t="n">
        <v>0</v>
      </c>
      <c r="I11" s="481" t="n">
        <v>0</v>
      </c>
      <c r="J11" s="481" t="n">
        <v>0</v>
      </c>
      <c r="K11" s="481" t="n">
        <v>0</v>
      </c>
      <c r="L11" s="481" t="n">
        <v>0</v>
      </c>
      <c r="M11" s="481" t="n">
        <v>0</v>
      </c>
      <c r="N11" s="481" t="n">
        <v>0</v>
      </c>
      <c r="O11" s="481" t="n">
        <v>0</v>
      </c>
      <c r="P11" s="483">
        <f>SUM(CostofSales[[#This Row],[1 月]:[12 月]])</f>
        <v/>
      </c>
      <c r="Q11" s="107" t="n">
        <v>0.2</v>
      </c>
      <c r="R11" s="134">
        <f>D11/D$14</f>
        <v/>
      </c>
      <c r="S11" s="134">
        <f>E11/E$14</f>
        <v/>
      </c>
      <c r="T11" s="134">
        <f>F11/F$14</f>
        <v/>
      </c>
      <c r="U11" s="134">
        <f>G11/G$14</f>
        <v/>
      </c>
      <c r="V11" s="134">
        <f>H11/H$14</f>
        <v/>
      </c>
      <c r="W11" s="134">
        <f>I11/I$14</f>
        <v/>
      </c>
      <c r="X11" s="134">
        <f>J11/J$14</f>
        <v/>
      </c>
      <c r="Y11" s="134">
        <f>K11/K$14</f>
        <v/>
      </c>
      <c r="Z11" s="134">
        <f>L11/L$14</f>
        <v/>
      </c>
      <c r="AA11" s="134">
        <f>M11/M$14</f>
        <v/>
      </c>
      <c r="AB11" s="134">
        <f>N11/N$14</f>
        <v/>
      </c>
      <c r="AC11" s="134">
        <f>O11/O$14</f>
        <v/>
      </c>
      <c r="AD11" s="134">
        <f>P11/P$14</f>
        <v/>
      </c>
    </row>
    <row r="12" ht="30" customHeight="1">
      <c r="B12" s="89" t="inlineStr">
        <is>
          <t>期末库存</t>
        </is>
      </c>
      <c r="C12" s="126" t="n"/>
      <c r="D12" s="481" t="n">
        <v>33</v>
      </c>
      <c r="E12" s="481" t="n">
        <v>0</v>
      </c>
      <c r="F12" s="481" t="n">
        <v>0</v>
      </c>
      <c r="G12" s="481" t="n">
        <v>0</v>
      </c>
      <c r="H12" s="481" t="n">
        <v>0</v>
      </c>
      <c r="I12" s="481" t="n">
        <v>0</v>
      </c>
      <c r="J12" s="481" t="n">
        <v>0</v>
      </c>
      <c r="K12" s="481" t="n">
        <v>0</v>
      </c>
      <c r="L12" s="481" t="n">
        <v>0</v>
      </c>
      <c r="M12" s="481" t="n">
        <v>0</v>
      </c>
      <c r="N12" s="481" t="n">
        <v>0</v>
      </c>
      <c r="O12" s="481" t="n">
        <v>0</v>
      </c>
      <c r="P12" s="483">
        <f>SUM(CostofSales[[#This Row],[1 月]:[12 月]])</f>
        <v/>
      </c>
      <c r="Q12" s="107" t="n">
        <v>0.1</v>
      </c>
      <c r="R12" s="134">
        <f>D12/D$14</f>
        <v/>
      </c>
      <c r="S12" s="134">
        <f>E12/E$14</f>
        <v/>
      </c>
      <c r="T12" s="134">
        <f>F12/F$14</f>
        <v/>
      </c>
      <c r="U12" s="134">
        <f>G12/G$14</f>
        <v/>
      </c>
      <c r="V12" s="134">
        <f>H12/H$14</f>
        <v/>
      </c>
      <c r="W12" s="134">
        <f>I12/I$14</f>
        <v/>
      </c>
      <c r="X12" s="134">
        <f>J12/J$14</f>
        <v/>
      </c>
      <c r="Y12" s="134">
        <f>K12/K$14</f>
        <v/>
      </c>
      <c r="Z12" s="134">
        <f>L12/L$14</f>
        <v/>
      </c>
      <c r="AA12" s="134">
        <f>M12/M$14</f>
        <v/>
      </c>
      <c r="AB12" s="134">
        <f>N12/N$14</f>
        <v/>
      </c>
      <c r="AC12" s="134">
        <f>O12/O$14</f>
        <v/>
      </c>
      <c r="AD12" s="134">
        <f>P12/P$14</f>
        <v/>
      </c>
    </row>
    <row r="13" ht="30" customHeight="1">
      <c r="B13" s="89" t="inlineStr">
        <is>
          <t>所售商品成本</t>
        </is>
      </c>
      <c r="C13" s="127" t="n"/>
      <c r="D13" s="481" t="n">
        <v>18</v>
      </c>
      <c r="E13" s="481" t="n">
        <v>0</v>
      </c>
      <c r="F13" s="481" t="n">
        <v>0</v>
      </c>
      <c r="G13" s="481" t="n">
        <v>0</v>
      </c>
      <c r="H13" s="481" t="n">
        <v>0</v>
      </c>
      <c r="I13" s="481" t="n">
        <v>0</v>
      </c>
      <c r="J13" s="481" t="n">
        <v>0</v>
      </c>
      <c r="K13" s="481" t="n">
        <v>0</v>
      </c>
      <c r="L13" s="481" t="n">
        <v>0</v>
      </c>
      <c r="M13" s="481" t="n">
        <v>0</v>
      </c>
      <c r="N13" s="481" t="n">
        <v>0</v>
      </c>
      <c r="O13" s="481" t="n">
        <v>0</v>
      </c>
      <c r="P13" s="484">
        <f>SUM(CostofSales[[#This Row],[1 月]:[12 月]])</f>
        <v/>
      </c>
      <c r="Q13" s="107" t="n">
        <v>0.1</v>
      </c>
      <c r="R13" s="135">
        <f>D13/D$14</f>
        <v/>
      </c>
      <c r="S13" s="135">
        <f>E13/E$14</f>
        <v/>
      </c>
      <c r="T13" s="135">
        <f>F13/F$14</f>
        <v/>
      </c>
      <c r="U13" s="135">
        <f>G13/G$14</f>
        <v/>
      </c>
      <c r="V13" s="135">
        <f>H13/H$14</f>
        <v/>
      </c>
      <c r="W13" s="135">
        <f>I13/I$14</f>
        <v/>
      </c>
      <c r="X13" s="135">
        <f>J13/J$14</f>
        <v/>
      </c>
      <c r="Y13" s="135">
        <f>K13/K$14</f>
        <v/>
      </c>
      <c r="Z13" s="135">
        <f>L13/L$14</f>
        <v/>
      </c>
      <c r="AA13" s="135">
        <f>M13/M$14</f>
        <v/>
      </c>
      <c r="AB13" s="135">
        <f>N13/N$14</f>
        <v/>
      </c>
      <c r="AC13" s="135">
        <f>O13/O$14</f>
        <v/>
      </c>
      <c r="AD13" s="135">
        <f>P13/P$14</f>
        <v/>
      </c>
    </row>
    <row r="14" ht="30" customHeight="1">
      <c r="B14" s="93" t="inlineStr">
        <is>
          <t>销售总成本</t>
        </is>
      </c>
      <c r="C14" s="128" t="n"/>
      <c r="D14" s="485">
        <f>SUM(D7:D10,D13)</f>
        <v/>
      </c>
      <c r="E14" s="485">
        <f>SUM(E7:E10,E13)</f>
        <v/>
      </c>
      <c r="F14" s="485">
        <f>SUM(F7:F10,F13)</f>
        <v/>
      </c>
      <c r="G14" s="485">
        <f>SUM(G7:G10,G13)</f>
        <v/>
      </c>
      <c r="H14" s="485">
        <f>SUM(H7:H10,H13)</f>
        <v/>
      </c>
      <c r="I14" s="485">
        <f>SUM(I7:I10,I13)</f>
        <v/>
      </c>
      <c r="J14" s="485">
        <f>SUM(J7:J10,J13)</f>
        <v/>
      </c>
      <c r="K14" s="485">
        <f>SUM(K7:K10,K13)</f>
        <v/>
      </c>
      <c r="L14" s="485">
        <f>SUM(L7:L10,L13)</f>
        <v/>
      </c>
      <c r="M14" s="485">
        <f>SUM(M7:M10,M13)</f>
        <v/>
      </c>
      <c r="N14" s="485">
        <f>SUM(N7:N10,N13)</f>
        <v/>
      </c>
      <c r="O14" s="485">
        <f>SUM(O7:O10,O13)</f>
        <v/>
      </c>
      <c r="P14" s="486">
        <f>SUM(CostofSales[[#This Row],[1 月]:[12 月]])</f>
        <v/>
      </c>
      <c r="Q14" s="110">
        <f>SUM(Q7:Q13)</f>
        <v/>
      </c>
      <c r="R14" s="136">
        <f>D14/D$14</f>
        <v/>
      </c>
      <c r="S14" s="136">
        <f>E14/E$14</f>
        <v/>
      </c>
      <c r="T14" s="136">
        <f>F14/F$14</f>
        <v/>
      </c>
      <c r="U14" s="136">
        <f>G14/G$14</f>
        <v/>
      </c>
      <c r="V14" s="136">
        <f>H14/H$14</f>
        <v/>
      </c>
      <c r="W14" s="136">
        <f>I14/I$14</f>
        <v/>
      </c>
      <c r="X14" s="136">
        <f>J14/J$14</f>
        <v/>
      </c>
      <c r="Y14" s="136">
        <f>K14/K$14</f>
        <v/>
      </c>
      <c r="Z14" s="136">
        <f>L14/L$14</f>
        <v/>
      </c>
      <c r="AA14" s="136">
        <f>M14/M$14</f>
        <v/>
      </c>
      <c r="AB14" s="136">
        <f>N14/N$14</f>
        <v/>
      </c>
      <c r="AC14" s="136">
        <f>O14/O$14</f>
        <v/>
      </c>
      <c r="AD14" s="136">
        <f>P14/P$14</f>
        <v/>
      </c>
    </row>
    <row r="15" ht="30" customHeight="1">
      <c r="B15" s="87" t="inlineStr">
        <is>
          <t>毛利润</t>
        </is>
      </c>
      <c r="C15" s="87" t="n"/>
      <c r="D15" s="480">
        <f>收入!D14-D14</f>
        <v/>
      </c>
      <c r="E15" s="480">
        <f>收入!E14-E14</f>
        <v/>
      </c>
      <c r="F15" s="480">
        <f>收入!F14-F14</f>
        <v/>
      </c>
      <c r="G15" s="480">
        <f>收入!G14-G14</f>
        <v/>
      </c>
      <c r="H15" s="480">
        <f>收入!H14-H14</f>
        <v/>
      </c>
      <c r="I15" s="480">
        <f>收入!I14-I14</f>
        <v/>
      </c>
      <c r="J15" s="480">
        <f>收入!J14-J14</f>
        <v/>
      </c>
      <c r="K15" s="480">
        <f>收入!K14-K14</f>
        <v/>
      </c>
      <c r="L15" s="480">
        <f>收入!L14-L14</f>
        <v/>
      </c>
      <c r="M15" s="480">
        <f>收入!M14-M14</f>
        <v/>
      </c>
      <c r="N15" s="480">
        <f>收入!N14-N14</f>
        <v/>
      </c>
      <c r="O15" s="480">
        <f>收入!O14-O14</f>
        <v/>
      </c>
      <c r="P15" s="480">
        <f>收入!P14-P14</f>
        <v/>
      </c>
      <c r="Q15" s="112" t="n"/>
      <c r="R15" s="112" t="n"/>
      <c r="S15" s="112" t="n"/>
      <c r="T15" s="112" t="n"/>
      <c r="U15" s="112" t="n"/>
      <c r="V15" s="112" t="n"/>
      <c r="W15" s="112" t="n"/>
      <c r="X15" s="112" t="n"/>
      <c r="Y15" s="112" t="n"/>
      <c r="Z15" s="112" t="n"/>
      <c r="AA15" s="112" t="n"/>
      <c r="AB15" s="112" t="n"/>
      <c r="AC15" s="112" t="n"/>
      <c r="AD15" s="112" t="n"/>
    </row>
    <row r="17" ht="30" customHeight="1">
      <c r="P17" s="487" t="n"/>
    </row>
  </sheetData>
  <dataValidations count="9">
    <dataValidation sqref="A1" showDropDown="0" showInputMessage="1" showErrorMessage="1" allowBlank="1" prompt="此工作表计算各项目的每月和每年销售总成本以及年度销售成本。将根据各条目自动计算毛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B1:AE32"/>
  <sheetViews>
    <sheetView showGridLines="0" topLeftCell="A4" workbookViewId="0">
      <selection activeCell="E5" sqref="E5"/>
    </sheetView>
  </sheetViews>
  <sheetFormatPr baseColWidth="10" defaultColWidth="10" defaultRowHeight="30" customHeight="1"/>
  <cols>
    <col width="5.6640625" customWidth="1" style="78" min="1" max="1"/>
    <col width="35.6640625" customWidth="1" style="78" min="2" max="3"/>
    <col width="10.6640625" customWidth="1" style="78" min="4" max="30"/>
    <col width="5.6640625" customWidth="1" style="78" min="31" max="31"/>
    <col width="10" customWidth="1" style="78" min="32" max="16384"/>
  </cols>
  <sheetData>
    <row r="1" ht="25" customHeight="1">
      <c r="B1" s="79" t="n"/>
      <c r="C1" s="79" t="n"/>
      <c r="AE1" s="78" t="inlineStr">
        <is>
          <t xml:space="preserve"> </t>
        </is>
      </c>
    </row>
    <row r="2" ht="60" customFormat="1" customHeight="1" s="76">
      <c r="B2" s="80">
        <f>Company_Name</f>
        <v/>
      </c>
      <c r="C2" s="80" t="n"/>
      <c r="Q2" s="103" t="n"/>
      <c r="R2" s="103" t="n"/>
      <c r="S2" s="103" t="n"/>
      <c r="T2" s="103" t="n"/>
      <c r="U2" s="103" t="n"/>
      <c r="V2" s="103" t="n"/>
      <c r="W2" s="103" t="n"/>
      <c r="X2" s="103" t="n"/>
      <c r="Y2" s="103" t="n"/>
      <c r="Z2" s="103" t="n"/>
      <c r="AA2" s="113" t="n"/>
      <c r="AB2" s="114" t="n"/>
      <c r="AC2" s="113" t="n"/>
    </row>
    <row r="3" ht="10" customHeight="1">
      <c r="B3" s="81" t="n"/>
      <c r="C3" s="82" t="n"/>
      <c r="J3" s="97" t="n"/>
      <c r="Q3" s="104" t="n"/>
      <c r="R3" s="104" t="n"/>
      <c r="S3" s="104" t="n"/>
      <c r="T3" s="104" t="n"/>
      <c r="U3" s="104" t="n"/>
      <c r="V3" s="104" t="n"/>
      <c r="W3" s="104" t="n"/>
      <c r="X3" s="104" t="n"/>
      <c r="Y3" s="104" t="n"/>
      <c r="Z3" s="104" t="n"/>
      <c r="AA3" s="115" t="n"/>
      <c r="AB3" s="116" t="n"/>
      <c r="AC3" s="115" t="n"/>
      <c r="AD3" s="11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18" t="n"/>
      <c r="AB4" s="84" t="n"/>
      <c r="AC4" s="84" t="n"/>
      <c r="AD4" s="84" t="n"/>
    </row>
    <row r="5" ht="25" customHeight="1">
      <c r="E5" s="86" t="n"/>
      <c r="G5" s="86" t="n"/>
      <c r="K5" s="86" t="n"/>
      <c r="L5" s="86" t="n"/>
      <c r="M5" s="86" t="n"/>
      <c r="N5" s="86" t="n"/>
      <c r="O5" s="86" t="n"/>
      <c r="X5" s="106" t="n"/>
      <c r="Y5" s="106" t="n"/>
      <c r="Z5" s="106" t="n"/>
      <c r="AA5" s="106" t="n"/>
      <c r="AB5" s="119" t="n"/>
      <c r="AC5" s="119" t="n"/>
      <c r="AD5" s="119" t="n"/>
    </row>
    <row r="6" ht="30" customFormat="1" customHeight="1" s="77">
      <c r="B6" s="87" t="inlineStr">
        <is>
          <t>费用</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Format="1" customHeight="1" s="77">
      <c r="B7" s="89" t="inlineStr">
        <is>
          <t xml:space="preserve">工资支出 </t>
        </is>
      </c>
      <c r="C7" s="90" t="inlineStr">
        <is>
          <t xml:space="preserve"> </t>
        </is>
      </c>
      <c r="D7" s="481" t="n">
        <v>10</v>
      </c>
      <c r="E7" s="481" t="n">
        <v>18</v>
      </c>
      <c r="F7" s="481" t="n">
        <v>13</v>
      </c>
      <c r="G7" s="481" t="n">
        <v>8</v>
      </c>
      <c r="H7" s="481" t="n">
        <v>22</v>
      </c>
      <c r="I7" s="481" t="n">
        <v>18</v>
      </c>
      <c r="J7" s="481" t="n">
        <v>8</v>
      </c>
      <c r="K7" s="481" t="n">
        <v>17</v>
      </c>
      <c r="L7" s="481" t="n">
        <v>20</v>
      </c>
      <c r="M7" s="481" t="n">
        <v>8</v>
      </c>
      <c r="N7" s="481" t="n">
        <v>4</v>
      </c>
      <c r="O7" s="481" t="n">
        <v>12</v>
      </c>
      <c r="P7" s="488">
        <f>SUM(tblExpenses[[#This Row],[1 月]:[12 月]])</f>
        <v/>
      </c>
      <c r="Q7" s="107" t="n">
        <v>0.12</v>
      </c>
      <c r="R7" s="108">
        <f>D7/D$26</f>
        <v/>
      </c>
      <c r="S7" s="108">
        <f>E7/E$26</f>
        <v/>
      </c>
      <c r="T7" s="108">
        <f>F7/F$26</f>
        <v/>
      </c>
      <c r="U7" s="108">
        <f>G7/G$26</f>
        <v/>
      </c>
      <c r="V7" s="108">
        <f>H7/H$26</f>
        <v/>
      </c>
      <c r="W7" s="108">
        <f>I7/I$26</f>
        <v/>
      </c>
      <c r="X7" s="108">
        <f>J7/J$26</f>
        <v/>
      </c>
      <c r="Y7" s="108">
        <f>K7/K$26</f>
        <v/>
      </c>
      <c r="Z7" s="108">
        <f>L7/L$26</f>
        <v/>
      </c>
      <c r="AA7" s="108">
        <f>M7/M$26</f>
        <v/>
      </c>
      <c r="AB7" s="108">
        <f>N7/N$26</f>
        <v/>
      </c>
      <c r="AC7" s="108">
        <f>O7/O$26</f>
        <v/>
      </c>
      <c r="AD7" s="120">
        <f>P7/P$26</f>
        <v/>
      </c>
    </row>
    <row r="8" ht="30" customFormat="1" customHeight="1" s="77">
      <c r="B8" s="89" t="inlineStr">
        <is>
          <t xml:space="preserve">薪金支出 </t>
        </is>
      </c>
      <c r="C8" s="92" t="inlineStr">
        <is>
          <t xml:space="preserve"> </t>
        </is>
      </c>
      <c r="D8" s="481" t="n">
        <v>23</v>
      </c>
      <c r="E8" s="481" t="n">
        <v>11</v>
      </c>
      <c r="F8" s="481" t="n">
        <v>7</v>
      </c>
      <c r="G8" s="481" t="n">
        <v>14</v>
      </c>
      <c r="H8" s="481" t="n">
        <v>12</v>
      </c>
      <c r="I8" s="481" t="n">
        <v>19</v>
      </c>
      <c r="J8" s="481" t="n">
        <v>19</v>
      </c>
      <c r="K8" s="481" t="n">
        <v>4</v>
      </c>
      <c r="L8" s="481" t="n">
        <v>7</v>
      </c>
      <c r="M8" s="481" t="n">
        <v>13</v>
      </c>
      <c r="N8" s="481" t="n">
        <v>25</v>
      </c>
      <c r="O8" s="481" t="n">
        <v>5</v>
      </c>
      <c r="P8" s="489">
        <f>SUM(tblExpenses[[#This Row],[1 月]:[12 月]])</f>
        <v/>
      </c>
      <c r="Q8" s="107" t="n">
        <v>0.09</v>
      </c>
      <c r="R8" s="109">
        <f>D8/D$26</f>
        <v/>
      </c>
      <c r="S8" s="109">
        <f>E8/E$26</f>
        <v/>
      </c>
      <c r="T8" s="109">
        <f>F8/F$26</f>
        <v/>
      </c>
      <c r="U8" s="109">
        <f>G8/G$26</f>
        <v/>
      </c>
      <c r="V8" s="109">
        <f>H8/H$26</f>
        <v/>
      </c>
      <c r="W8" s="109">
        <f>I8/I$26</f>
        <v/>
      </c>
      <c r="X8" s="109">
        <f>J8/J$26</f>
        <v/>
      </c>
      <c r="Y8" s="109">
        <f>K8/K$26</f>
        <v/>
      </c>
      <c r="Z8" s="109">
        <f>L8/L$26</f>
        <v/>
      </c>
      <c r="AA8" s="109">
        <f>M8/M$26</f>
        <v/>
      </c>
      <c r="AB8" s="109">
        <f>N8/N$26</f>
        <v/>
      </c>
      <c r="AC8" s="109">
        <f>O8/O$26</f>
        <v/>
      </c>
      <c r="AD8" s="111">
        <f>P8/P$26</f>
        <v/>
      </c>
    </row>
    <row r="9" ht="30" customFormat="1" customHeight="1" s="77">
      <c r="B9" s="89" t="inlineStr">
        <is>
          <t>外部服务</t>
        </is>
      </c>
      <c r="C9" s="92" t="inlineStr">
        <is>
          <t xml:space="preserve"> </t>
        </is>
      </c>
      <c r="D9" s="481" t="n">
        <v>23</v>
      </c>
      <c r="E9" s="481" t="n">
        <v>20</v>
      </c>
      <c r="F9" s="481" t="n">
        <v>3</v>
      </c>
      <c r="G9" s="481" t="n">
        <v>716</v>
      </c>
      <c r="H9" s="481" t="n">
        <v>13</v>
      </c>
      <c r="I9" s="481" t="n">
        <v>5</v>
      </c>
      <c r="J9" s="481" t="n">
        <v>20</v>
      </c>
      <c r="K9" s="481" t="n">
        <v>7</v>
      </c>
      <c r="L9" s="481" t="n">
        <v>4</v>
      </c>
      <c r="M9" s="481" t="n">
        <v>22</v>
      </c>
      <c r="N9" s="481" t="n">
        <v>13</v>
      </c>
      <c r="O9" s="481" t="n">
        <v>14</v>
      </c>
      <c r="P9" s="489">
        <f>SUM(tblExpenses[[#This Row],[1 月]:[12 月]])</f>
        <v/>
      </c>
      <c r="Q9" s="107" t="n">
        <v>0.02</v>
      </c>
      <c r="R9" s="109">
        <f>D9/D$26</f>
        <v/>
      </c>
      <c r="S9" s="109">
        <f>E9/E$26</f>
        <v/>
      </c>
      <c r="T9" s="109">
        <f>F9/F$26</f>
        <v/>
      </c>
      <c r="U9" s="109">
        <f>G9/G$26</f>
        <v/>
      </c>
      <c r="V9" s="109">
        <f>H9/H$26</f>
        <v/>
      </c>
      <c r="W9" s="109">
        <f>I9/I$26</f>
        <v/>
      </c>
      <c r="X9" s="109">
        <f>J9/J$26</f>
        <v/>
      </c>
      <c r="Y9" s="109">
        <f>K9/K$26</f>
        <v/>
      </c>
      <c r="Z9" s="109">
        <f>L9/L$26</f>
        <v/>
      </c>
      <c r="AA9" s="109">
        <f>M9/M$26</f>
        <v/>
      </c>
      <c r="AB9" s="109">
        <f>N9/N$26</f>
        <v/>
      </c>
      <c r="AC9" s="109">
        <f>O9/O$26</f>
        <v/>
      </c>
      <c r="AD9" s="111">
        <f>P9/P$26</f>
        <v/>
      </c>
    </row>
    <row r="10" ht="30" customFormat="1" customHeight="1" s="77">
      <c r="B10" s="89" t="inlineStr">
        <is>
          <t>补给（办公室和运营）</t>
        </is>
      </c>
      <c r="C10" s="92" t="inlineStr">
        <is>
          <t xml:space="preserve"> </t>
        </is>
      </c>
      <c r="D10" s="481" t="n">
        <v>19</v>
      </c>
      <c r="E10" s="481" t="n">
        <v>4</v>
      </c>
      <c r="F10" s="481" t="n">
        <v>7</v>
      </c>
      <c r="G10" s="481" t="n">
        <v>14</v>
      </c>
      <c r="H10" s="481" t="n">
        <v>388</v>
      </c>
      <c r="I10" s="481" t="n">
        <v>10</v>
      </c>
      <c r="J10" s="481" t="n">
        <v>22</v>
      </c>
      <c r="K10" s="481" t="n">
        <v>5</v>
      </c>
      <c r="L10" s="481" t="n">
        <v>4</v>
      </c>
      <c r="M10" s="481" t="n">
        <v>12</v>
      </c>
      <c r="N10" s="481" t="n">
        <v>18</v>
      </c>
      <c r="O10" s="481" t="n">
        <v>24</v>
      </c>
      <c r="P10" s="489">
        <f>SUM(tblExpenses[[#This Row],[1 月]:[12 月]])</f>
        <v/>
      </c>
      <c r="Q10" s="107" t="n">
        <v>0.08</v>
      </c>
      <c r="R10" s="109">
        <f>D10/D$26</f>
        <v/>
      </c>
      <c r="S10" s="109">
        <f>E10/E$26</f>
        <v/>
      </c>
      <c r="T10" s="109">
        <f>F10/F$26</f>
        <v/>
      </c>
      <c r="U10" s="109">
        <f>G10/G$26</f>
        <v/>
      </c>
      <c r="V10" s="109">
        <f>H10/H$26</f>
        <v/>
      </c>
      <c r="W10" s="109">
        <f>I10/I$26</f>
        <v/>
      </c>
      <c r="X10" s="109">
        <f>J10/J$26</f>
        <v/>
      </c>
      <c r="Y10" s="109">
        <f>K10/K$26</f>
        <v/>
      </c>
      <c r="Z10" s="109">
        <f>L10/L$26</f>
        <v/>
      </c>
      <c r="AA10" s="109">
        <f>M10/M$26</f>
        <v/>
      </c>
      <c r="AB10" s="109">
        <f>N10/N$26</f>
        <v/>
      </c>
      <c r="AC10" s="109">
        <f>O10/O$26</f>
        <v/>
      </c>
      <c r="AD10" s="111">
        <f>P10/P$26</f>
        <v/>
      </c>
    </row>
    <row r="11" ht="30" customFormat="1" customHeight="1" s="77">
      <c r="B11" s="89" t="inlineStr">
        <is>
          <t>修理和维护</t>
        </is>
      </c>
      <c r="C11" s="92" t="inlineStr">
        <is>
          <t xml:space="preserve"> </t>
        </is>
      </c>
      <c r="D11" s="481" t="n">
        <v>11</v>
      </c>
      <c r="E11" s="481" t="n">
        <v>11</v>
      </c>
      <c r="F11" s="481" t="n">
        <v>17</v>
      </c>
      <c r="G11" s="481" t="n">
        <v>12</v>
      </c>
      <c r="H11" s="481" t="n">
        <v>2</v>
      </c>
      <c r="I11" s="481" t="n">
        <v>14</v>
      </c>
      <c r="J11" s="481" t="n">
        <v>12</v>
      </c>
      <c r="K11" s="481" t="n">
        <v>10</v>
      </c>
      <c r="L11" s="481" t="n">
        <v>18</v>
      </c>
      <c r="M11" s="481" t="n">
        <v>11</v>
      </c>
      <c r="N11" s="481" t="n">
        <v>23</v>
      </c>
      <c r="O11" s="481" t="n">
        <v>11</v>
      </c>
      <c r="P11" s="489">
        <f>SUM(tblExpenses[[#This Row],[1 月]:[12 月]])</f>
        <v/>
      </c>
      <c r="Q11" s="107" t="n">
        <v>0.03</v>
      </c>
      <c r="R11" s="109">
        <f>D11/D$26</f>
        <v/>
      </c>
      <c r="S11" s="109">
        <f>E11/E$26</f>
        <v/>
      </c>
      <c r="T11" s="109">
        <f>F11/F$26</f>
        <v/>
      </c>
      <c r="U11" s="109">
        <f>G11/G$26</f>
        <v/>
      </c>
      <c r="V11" s="109">
        <f>H11/H$26</f>
        <v/>
      </c>
      <c r="W11" s="109">
        <f>I11/I$26</f>
        <v/>
      </c>
      <c r="X11" s="109">
        <f>J11/J$26</f>
        <v/>
      </c>
      <c r="Y11" s="109">
        <f>K11/K$26</f>
        <v/>
      </c>
      <c r="Z11" s="109">
        <f>L11/L$26</f>
        <v/>
      </c>
      <c r="AA11" s="109">
        <f>M11/M$26</f>
        <v/>
      </c>
      <c r="AB11" s="109">
        <f>N11/N$26</f>
        <v/>
      </c>
      <c r="AC11" s="109">
        <f>O11/O$26</f>
        <v/>
      </c>
      <c r="AD11" s="111">
        <f>P11/P$26</f>
        <v/>
      </c>
    </row>
    <row r="12" ht="30" customFormat="1" customHeight="1" s="77">
      <c r="B12" s="89" t="inlineStr">
        <is>
          <t>广告</t>
        </is>
      </c>
      <c r="C12" s="92" t="inlineStr">
        <is>
          <t xml:space="preserve"> </t>
        </is>
      </c>
      <c r="D12" s="481" t="n">
        <v>2</v>
      </c>
      <c r="E12" s="481" t="n">
        <v>16</v>
      </c>
      <c r="F12" s="481" t="n">
        <v>6</v>
      </c>
      <c r="G12" s="481" t="n">
        <v>13</v>
      </c>
      <c r="H12" s="481" t="n">
        <v>11</v>
      </c>
      <c r="I12" s="481" t="n">
        <v>22</v>
      </c>
      <c r="J12" s="481" t="n">
        <v>21</v>
      </c>
      <c r="K12" s="481" t="n">
        <v>3</v>
      </c>
      <c r="L12" s="481" t="n">
        <v>12</v>
      </c>
      <c r="M12" s="481" t="n">
        <v>7</v>
      </c>
      <c r="N12" s="481" t="n">
        <v>17</v>
      </c>
      <c r="O12" s="481" t="n">
        <v>20</v>
      </c>
      <c r="P12" s="489">
        <f>SUM(tblExpenses[[#This Row],[1 月]:[12 月]])</f>
        <v/>
      </c>
      <c r="Q12" s="107" t="n">
        <v>0.15</v>
      </c>
      <c r="R12" s="109">
        <f>D12/D$26</f>
        <v/>
      </c>
      <c r="S12" s="109">
        <f>E12/E$26</f>
        <v/>
      </c>
      <c r="T12" s="109">
        <f>F12/F$26</f>
        <v/>
      </c>
      <c r="U12" s="109">
        <f>G12/G$26</f>
        <v/>
      </c>
      <c r="V12" s="109">
        <f>H12/H$26</f>
        <v/>
      </c>
      <c r="W12" s="109">
        <f>I12/I$26</f>
        <v/>
      </c>
      <c r="X12" s="109">
        <f>J12/J$26</f>
        <v/>
      </c>
      <c r="Y12" s="109">
        <f>K12/K$26</f>
        <v/>
      </c>
      <c r="Z12" s="109">
        <f>L12/L$26</f>
        <v/>
      </c>
      <c r="AA12" s="109">
        <f>M12/M$26</f>
        <v/>
      </c>
      <c r="AB12" s="109">
        <f>N12/N$26</f>
        <v/>
      </c>
      <c r="AC12" s="109">
        <f>O12/O$26</f>
        <v/>
      </c>
      <c r="AD12" s="111">
        <f>P12/P$26</f>
        <v/>
      </c>
    </row>
    <row r="13" ht="30" customFormat="1" customHeight="1" s="77">
      <c r="B13" s="89" t="inlineStr">
        <is>
          <t>汽车、送货和旅行</t>
        </is>
      </c>
      <c r="C13" s="92" t="inlineStr">
        <is>
          <t xml:space="preserve"> </t>
        </is>
      </c>
      <c r="D13" s="481" t="n">
        <v>8</v>
      </c>
      <c r="E13" s="481" t="n">
        <v>17</v>
      </c>
      <c r="F13" s="481" t="n">
        <v>11</v>
      </c>
      <c r="G13" s="481" t="n">
        <v>11</v>
      </c>
      <c r="H13" s="481" t="n">
        <v>21</v>
      </c>
      <c r="I13" s="481" t="n">
        <v>9</v>
      </c>
      <c r="J13" s="481" t="n">
        <v>20</v>
      </c>
      <c r="K13" s="481" t="n">
        <v>3</v>
      </c>
      <c r="L13" s="481" t="n">
        <v>14</v>
      </c>
      <c r="M13" s="481" t="n">
        <v>22</v>
      </c>
      <c r="N13" s="481" t="n">
        <v>16</v>
      </c>
      <c r="O13" s="481" t="n">
        <v>12</v>
      </c>
      <c r="P13" s="489">
        <f>SUM(tblExpenses[[#This Row],[1 月]:[12 月]])</f>
        <v/>
      </c>
      <c r="Q13" s="107" t="n">
        <v>0.12</v>
      </c>
      <c r="R13" s="109">
        <f>D13/D$26</f>
        <v/>
      </c>
      <c r="S13" s="109">
        <f>E13/E$26</f>
        <v/>
      </c>
      <c r="T13" s="109">
        <f>F13/F$26</f>
        <v/>
      </c>
      <c r="U13" s="109">
        <f>G13/G$26</f>
        <v/>
      </c>
      <c r="V13" s="109">
        <f>H13/H$26</f>
        <v/>
      </c>
      <c r="W13" s="109">
        <f>I13/I$26</f>
        <v/>
      </c>
      <c r="X13" s="109">
        <f>J13/J$26</f>
        <v/>
      </c>
      <c r="Y13" s="109">
        <f>K13/K$26</f>
        <v/>
      </c>
      <c r="Z13" s="109">
        <f>L13/L$26</f>
        <v/>
      </c>
      <c r="AA13" s="109">
        <f>M13/M$26</f>
        <v/>
      </c>
      <c r="AB13" s="109">
        <f>N13/N$26</f>
        <v/>
      </c>
      <c r="AC13" s="109">
        <f>O13/O$26</f>
        <v/>
      </c>
      <c r="AD13" s="111">
        <f>P13/P$26</f>
        <v/>
      </c>
    </row>
    <row r="14" ht="30" customFormat="1" customHeight="1" s="77">
      <c r="B14" s="89" t="inlineStr">
        <is>
          <t>会计和法律</t>
        </is>
      </c>
      <c r="C14" s="92" t="inlineStr">
        <is>
          <t xml:space="preserve"> </t>
        </is>
      </c>
      <c r="D14" s="481" t="n">
        <v>5</v>
      </c>
      <c r="E14" s="481" t="n">
        <v>13</v>
      </c>
      <c r="F14" s="481" t="n">
        <v>6</v>
      </c>
      <c r="G14" s="481" t="n">
        <v>15</v>
      </c>
      <c r="H14" s="481" t="n">
        <v>19</v>
      </c>
      <c r="I14" s="481" t="n">
        <v>10</v>
      </c>
      <c r="J14" s="481" t="n">
        <v>12</v>
      </c>
      <c r="K14" s="481" t="n">
        <v>9</v>
      </c>
      <c r="L14" s="481" t="n">
        <v>15</v>
      </c>
      <c r="M14" s="481" t="n">
        <v>16</v>
      </c>
      <c r="N14" s="481" t="n">
        <v>4</v>
      </c>
      <c r="O14" s="481" t="n">
        <v>9</v>
      </c>
      <c r="P14" s="489">
        <f>SUM(tblExpenses[[#This Row],[1 月]:[12 月]])</f>
        <v/>
      </c>
      <c r="Q14" s="107" t="n">
        <v>0.09</v>
      </c>
      <c r="R14" s="109">
        <f>D14/D$26</f>
        <v/>
      </c>
      <c r="S14" s="109">
        <f>E14/E$26</f>
        <v/>
      </c>
      <c r="T14" s="109">
        <f>F14/F$26</f>
        <v/>
      </c>
      <c r="U14" s="109">
        <f>G14/G$26</f>
        <v/>
      </c>
      <c r="V14" s="109">
        <f>H14/H$26</f>
        <v/>
      </c>
      <c r="W14" s="109">
        <f>I14/I$26</f>
        <v/>
      </c>
      <c r="X14" s="109">
        <f>J14/J$26</f>
        <v/>
      </c>
      <c r="Y14" s="109">
        <f>K14/K$26</f>
        <v/>
      </c>
      <c r="Z14" s="109">
        <f>L14/L$26</f>
        <v/>
      </c>
      <c r="AA14" s="109">
        <f>M14/M$26</f>
        <v/>
      </c>
      <c r="AB14" s="109">
        <f>N14/N$26</f>
        <v/>
      </c>
      <c r="AC14" s="109">
        <f>O14/O$26</f>
        <v/>
      </c>
      <c r="AD14" s="111">
        <f>P14/P$26</f>
        <v/>
      </c>
    </row>
    <row r="15" ht="30" customFormat="1" customHeight="1" s="77">
      <c r="B15" s="89" t="inlineStr">
        <is>
          <t>租金</t>
        </is>
      </c>
      <c r="C15" s="92" t="inlineStr">
        <is>
          <t xml:space="preserve"> </t>
        </is>
      </c>
      <c r="D15" s="481" t="n">
        <v>8</v>
      </c>
      <c r="E15" s="481" t="n">
        <v>4</v>
      </c>
      <c r="F15" s="481" t="n">
        <v>23</v>
      </c>
      <c r="G15" s="481" t="n">
        <v>25</v>
      </c>
      <c r="H15" s="481" t="n">
        <v>10</v>
      </c>
      <c r="I15" s="481" t="n">
        <v>24</v>
      </c>
      <c r="J15" s="481" t="n">
        <v>22</v>
      </c>
      <c r="K15" s="481" t="n">
        <v>5</v>
      </c>
      <c r="L15" s="481" t="n">
        <v>12</v>
      </c>
      <c r="M15" s="481" t="n">
        <v>24</v>
      </c>
      <c r="N15" s="481" t="n">
        <v>24</v>
      </c>
      <c r="O15" s="481" t="n">
        <v>12</v>
      </c>
      <c r="P15" s="489">
        <f>SUM(tblExpenses[[#This Row],[1 月]:[12 月]])</f>
        <v/>
      </c>
      <c r="Q15" s="107" t="n">
        <v>0.01</v>
      </c>
      <c r="R15" s="109">
        <f>D15/D$26</f>
        <v/>
      </c>
      <c r="S15" s="109">
        <f>E15/E$26</f>
        <v/>
      </c>
      <c r="T15" s="109">
        <f>F15/F$26</f>
        <v/>
      </c>
      <c r="U15" s="109">
        <f>G15/G$26</f>
        <v/>
      </c>
      <c r="V15" s="109">
        <f>H15/H$26</f>
        <v/>
      </c>
      <c r="W15" s="109">
        <f>I15/I$26</f>
        <v/>
      </c>
      <c r="X15" s="109">
        <f>J15/J$26</f>
        <v/>
      </c>
      <c r="Y15" s="109">
        <f>K15/K$26</f>
        <v/>
      </c>
      <c r="Z15" s="109">
        <f>L15/L$26</f>
        <v/>
      </c>
      <c r="AA15" s="109">
        <f>M15/M$26</f>
        <v/>
      </c>
      <c r="AB15" s="109">
        <f>N15/N$26</f>
        <v/>
      </c>
      <c r="AC15" s="109">
        <f>O15/O$26</f>
        <v/>
      </c>
      <c r="AD15" s="111">
        <f>P15/P$26</f>
        <v/>
      </c>
    </row>
    <row r="16" ht="30" customFormat="1" customHeight="1" s="77">
      <c r="B16" s="89" t="inlineStr">
        <is>
          <t>电话</t>
        </is>
      </c>
      <c r="C16" s="92" t="inlineStr">
        <is>
          <t xml:space="preserve"> </t>
        </is>
      </c>
      <c r="D16" s="481" t="n">
        <v>25</v>
      </c>
      <c r="E16" s="481" t="n">
        <v>2</v>
      </c>
      <c r="F16" s="481" t="n">
        <v>12</v>
      </c>
      <c r="G16" s="481" t="n">
        <v>25</v>
      </c>
      <c r="H16" s="481" t="n">
        <v>10</v>
      </c>
      <c r="I16" s="481" t="n">
        <v>24</v>
      </c>
      <c r="J16" s="481" t="n">
        <v>3</v>
      </c>
      <c r="K16" s="481" t="n">
        <v>20</v>
      </c>
      <c r="L16" s="481" t="n">
        <v>3</v>
      </c>
      <c r="M16" s="481" t="n">
        <v>9</v>
      </c>
      <c r="N16" s="481" t="n">
        <v>20</v>
      </c>
      <c r="O16" s="481" t="n">
        <v>18</v>
      </c>
      <c r="P16" s="489">
        <f>SUM(tblExpenses[[#This Row],[1 月]:[12 月]])</f>
        <v/>
      </c>
      <c r="Q16" s="107" t="n">
        <v>0.01</v>
      </c>
      <c r="R16" s="109">
        <f>D16/D$26</f>
        <v/>
      </c>
      <c r="S16" s="109">
        <f>E16/E$26</f>
        <v/>
      </c>
      <c r="T16" s="109">
        <f>F16/F$26</f>
        <v/>
      </c>
      <c r="U16" s="109">
        <f>G16/G$26</f>
        <v/>
      </c>
      <c r="V16" s="109">
        <f>H16/H$26</f>
        <v/>
      </c>
      <c r="W16" s="109">
        <f>I16/I$26</f>
        <v/>
      </c>
      <c r="X16" s="109">
        <f>J16/J$26</f>
        <v/>
      </c>
      <c r="Y16" s="109">
        <f>K16/K$26</f>
        <v/>
      </c>
      <c r="Z16" s="109">
        <f>L16/L$26</f>
        <v/>
      </c>
      <c r="AA16" s="109">
        <f>M16/M$26</f>
        <v/>
      </c>
      <c r="AB16" s="109">
        <f>N16/N$26</f>
        <v/>
      </c>
      <c r="AC16" s="109">
        <f>O16/O$26</f>
        <v/>
      </c>
      <c r="AD16" s="111">
        <f>P16/P$26</f>
        <v/>
      </c>
    </row>
    <row r="17" ht="30" customFormat="1" customHeight="1" s="77">
      <c r="B17" s="89" t="inlineStr">
        <is>
          <t>水电费</t>
        </is>
      </c>
      <c r="C17" s="92" t="inlineStr">
        <is>
          <t xml:space="preserve"> </t>
        </is>
      </c>
      <c r="D17" s="481" t="n">
        <v>16</v>
      </c>
      <c r="E17" s="481" t="n">
        <v>19</v>
      </c>
      <c r="F17" s="481" t="n">
        <v>9</v>
      </c>
      <c r="G17" s="481" t="n">
        <v>16</v>
      </c>
      <c r="H17" s="481" t="n">
        <v>13</v>
      </c>
      <c r="I17" s="481" t="n">
        <v>2</v>
      </c>
      <c r="J17" s="481" t="n">
        <v>4</v>
      </c>
      <c r="K17" s="481" t="n">
        <v>24</v>
      </c>
      <c r="L17" s="481" t="n">
        <v>16</v>
      </c>
      <c r="M17" s="481" t="n">
        <v>22</v>
      </c>
      <c r="N17" s="481" t="n">
        <v>7</v>
      </c>
      <c r="O17" s="481" t="n">
        <v>18</v>
      </c>
      <c r="P17" s="489">
        <f>SUM(tblExpenses[[#This Row],[1 月]:[12 月]])</f>
        <v/>
      </c>
      <c r="Q17" s="107" t="n">
        <v>0.01</v>
      </c>
      <c r="R17" s="109">
        <f>D17/D$26</f>
        <v/>
      </c>
      <c r="S17" s="109">
        <f>E17/E$26</f>
        <v/>
      </c>
      <c r="T17" s="109">
        <f>F17/F$26</f>
        <v/>
      </c>
      <c r="U17" s="109">
        <f>G17/G$26</f>
        <v/>
      </c>
      <c r="V17" s="109">
        <f>H17/H$26</f>
        <v/>
      </c>
      <c r="W17" s="109">
        <f>I17/I$26</f>
        <v/>
      </c>
      <c r="X17" s="109">
        <f>J17/J$26</f>
        <v/>
      </c>
      <c r="Y17" s="109">
        <f>K17/K$26</f>
        <v/>
      </c>
      <c r="Z17" s="109">
        <f>L17/L$26</f>
        <v/>
      </c>
      <c r="AA17" s="109">
        <f>M17/M$26</f>
        <v/>
      </c>
      <c r="AB17" s="109">
        <f>N17/N$26</f>
        <v/>
      </c>
      <c r="AC17" s="109">
        <f>O17/O$26</f>
        <v/>
      </c>
      <c r="AD17" s="111">
        <f>P17/P$26</f>
        <v/>
      </c>
    </row>
    <row r="18" ht="30" customFormat="1" customHeight="1" s="77">
      <c r="B18" s="89" t="inlineStr">
        <is>
          <t>保险</t>
        </is>
      </c>
      <c r="C18" s="92" t="inlineStr">
        <is>
          <t xml:space="preserve"> </t>
        </is>
      </c>
      <c r="D18" s="481" t="n">
        <v>12</v>
      </c>
      <c r="E18" s="481" t="n">
        <v>9</v>
      </c>
      <c r="F18" s="481" t="n">
        <v>16</v>
      </c>
      <c r="G18" s="481" t="n">
        <v>19</v>
      </c>
      <c r="H18" s="481" t="n">
        <v>25</v>
      </c>
      <c r="I18" s="481" t="n">
        <v>17</v>
      </c>
      <c r="J18" s="481" t="n">
        <v>20</v>
      </c>
      <c r="K18" s="481" t="n">
        <v>14</v>
      </c>
      <c r="L18" s="481" t="n">
        <v>5</v>
      </c>
      <c r="M18" s="481" t="n">
        <v>14</v>
      </c>
      <c r="N18" s="481" t="n">
        <v>5</v>
      </c>
      <c r="O18" s="481" t="n">
        <v>2</v>
      </c>
      <c r="P18" s="489">
        <f>SUM(tblExpenses[[#This Row],[1 月]:[12 月]])</f>
        <v/>
      </c>
      <c r="Q18" s="107" t="n">
        <v>0.01</v>
      </c>
      <c r="R18" s="109">
        <f>D18/D$26</f>
        <v/>
      </c>
      <c r="S18" s="109">
        <f>E18/E$26</f>
        <v/>
      </c>
      <c r="T18" s="109">
        <f>F18/F$26</f>
        <v/>
      </c>
      <c r="U18" s="109">
        <f>G18/G$26</f>
        <v/>
      </c>
      <c r="V18" s="109">
        <f>H18/H$26</f>
        <v/>
      </c>
      <c r="W18" s="109">
        <f>I18/I$26</f>
        <v/>
      </c>
      <c r="X18" s="109">
        <f>J18/J$26</f>
        <v/>
      </c>
      <c r="Y18" s="109">
        <f>K18/K$26</f>
        <v/>
      </c>
      <c r="Z18" s="109">
        <f>L18/L$26</f>
        <v/>
      </c>
      <c r="AA18" s="109">
        <f>M18/M$26</f>
        <v/>
      </c>
      <c r="AB18" s="109">
        <f>N18/N$26</f>
        <v/>
      </c>
      <c r="AC18" s="109">
        <f>O18/O$26</f>
        <v/>
      </c>
      <c r="AD18" s="111">
        <f>P18/P$26</f>
        <v/>
      </c>
    </row>
    <row r="19" ht="30" customFormat="1" customHeight="1" s="77">
      <c r="B19" s="89" t="inlineStr">
        <is>
          <t>税款（房地产等）</t>
        </is>
      </c>
      <c r="C19" s="92" t="inlineStr">
        <is>
          <t xml:space="preserve"> </t>
        </is>
      </c>
      <c r="D19" s="481" t="n">
        <v>16</v>
      </c>
      <c r="E19" s="481" t="n">
        <v>13</v>
      </c>
      <c r="F19" s="481" t="n">
        <v>10</v>
      </c>
      <c r="G19" s="481" t="n">
        <v>7</v>
      </c>
      <c r="H19" s="481" t="n">
        <v>13</v>
      </c>
      <c r="I19" s="481" t="n">
        <v>3</v>
      </c>
      <c r="J19" s="481" t="n">
        <v>13</v>
      </c>
      <c r="K19" s="481" t="n">
        <v>17</v>
      </c>
      <c r="L19" s="481" t="n">
        <v>9</v>
      </c>
      <c r="M19" s="481" t="n">
        <v>4</v>
      </c>
      <c r="N19" s="481" t="n">
        <v>22</v>
      </c>
      <c r="O19" s="481" t="n">
        <v>18</v>
      </c>
      <c r="P19" s="489">
        <f>SUM(tblExpenses[[#This Row],[1 月]:[12 月]])</f>
        <v/>
      </c>
      <c r="Q19" s="107" t="n">
        <v>0.14</v>
      </c>
      <c r="R19" s="109">
        <f>D19/D$26</f>
        <v/>
      </c>
      <c r="S19" s="109">
        <f>E19/E$26</f>
        <v/>
      </c>
      <c r="T19" s="109">
        <f>F19/F$26</f>
        <v/>
      </c>
      <c r="U19" s="109">
        <f>G19/G$26</f>
        <v/>
      </c>
      <c r="V19" s="109">
        <f>H19/H$26</f>
        <v/>
      </c>
      <c r="W19" s="109">
        <f>I19/I$26</f>
        <v/>
      </c>
      <c r="X19" s="109">
        <f>J19/J$26</f>
        <v/>
      </c>
      <c r="Y19" s="109">
        <f>K19/K$26</f>
        <v/>
      </c>
      <c r="Z19" s="109">
        <f>L19/L$26</f>
        <v/>
      </c>
      <c r="AA19" s="109">
        <f>M19/M$26</f>
        <v/>
      </c>
      <c r="AB19" s="109">
        <f>N19/N$26</f>
        <v/>
      </c>
      <c r="AC19" s="109">
        <f>O19/O$26</f>
        <v/>
      </c>
      <c r="AD19" s="111">
        <f>P19/P$26</f>
        <v/>
      </c>
    </row>
    <row r="20" ht="30" customFormat="1" customHeight="1" s="77">
      <c r="B20" s="89" t="inlineStr">
        <is>
          <t>利息</t>
        </is>
      </c>
      <c r="C20" s="92" t="inlineStr">
        <is>
          <t xml:space="preserve"> </t>
        </is>
      </c>
      <c r="D20" s="481" t="n">
        <v>3</v>
      </c>
      <c r="E20" s="481" t="n">
        <v>2</v>
      </c>
      <c r="F20" s="481" t="n">
        <v>19</v>
      </c>
      <c r="G20" s="481" t="n">
        <v>21</v>
      </c>
      <c r="H20" s="481" t="n">
        <v>13</v>
      </c>
      <c r="I20" s="481" t="n">
        <v>9</v>
      </c>
      <c r="J20" s="481" t="n">
        <v>7</v>
      </c>
      <c r="K20" s="481" t="n">
        <v>13</v>
      </c>
      <c r="L20" s="481" t="n">
        <v>3</v>
      </c>
      <c r="M20" s="481" t="n">
        <v>6</v>
      </c>
      <c r="N20" s="481" t="n">
        <v>10</v>
      </c>
      <c r="O20" s="481" t="n">
        <v>13</v>
      </c>
      <c r="P20" s="489">
        <f>SUM(tblExpenses[[#This Row],[1 月]:[12 月]])</f>
        <v/>
      </c>
      <c r="Q20" s="107" t="n">
        <v>0.06</v>
      </c>
      <c r="R20" s="109">
        <f>D20/D$26</f>
        <v/>
      </c>
      <c r="S20" s="109">
        <f>E20/E$26</f>
        <v/>
      </c>
      <c r="T20" s="109">
        <f>F20/F$26</f>
        <v/>
      </c>
      <c r="U20" s="109">
        <f>G20/G$26</f>
        <v/>
      </c>
      <c r="V20" s="109">
        <f>H20/H$26</f>
        <v/>
      </c>
      <c r="W20" s="109">
        <f>I20/I$26</f>
        <v/>
      </c>
      <c r="X20" s="109">
        <f>J20/J$26</f>
        <v/>
      </c>
      <c r="Y20" s="109">
        <f>K20/K$26</f>
        <v/>
      </c>
      <c r="Z20" s="109">
        <f>L20/L$26</f>
        <v/>
      </c>
      <c r="AA20" s="109">
        <f>M20/M$26</f>
        <v/>
      </c>
      <c r="AB20" s="109">
        <f>N20/N$26</f>
        <v/>
      </c>
      <c r="AC20" s="109">
        <f>O20/O$26</f>
        <v/>
      </c>
      <c r="AD20" s="111">
        <f>P20/P$26</f>
        <v/>
      </c>
    </row>
    <row r="21" ht="30" customFormat="1" customHeight="1" s="77">
      <c r="B21" s="89" t="inlineStr">
        <is>
          <t>折旧</t>
        </is>
      </c>
      <c r="C21" s="92" t="inlineStr">
        <is>
          <t xml:space="preserve"> </t>
        </is>
      </c>
      <c r="D21" s="481" t="n">
        <v>8</v>
      </c>
      <c r="E21" s="481" t="n">
        <v>7</v>
      </c>
      <c r="F21" s="481" t="n">
        <v>6</v>
      </c>
      <c r="G21" s="481" t="n">
        <v>7</v>
      </c>
      <c r="H21" s="481" t="n">
        <v>7</v>
      </c>
      <c r="I21" s="481" t="n">
        <v>6</v>
      </c>
      <c r="J21" s="481" t="n">
        <v>15</v>
      </c>
      <c r="K21" s="481" t="n">
        <v>23</v>
      </c>
      <c r="L21" s="481" t="n">
        <v>21</v>
      </c>
      <c r="M21" s="481" t="n">
        <v>16</v>
      </c>
      <c r="N21" s="481" t="n">
        <v>19</v>
      </c>
      <c r="O21" s="481" t="n">
        <v>7</v>
      </c>
      <c r="P21" s="489">
        <f>SUM(tblExpenses[[#This Row],[1 月]:[12 月]])</f>
        <v/>
      </c>
      <c r="Q21" s="107" t="n">
        <v>0.01</v>
      </c>
      <c r="R21" s="109">
        <f>D21/D$26</f>
        <v/>
      </c>
      <c r="S21" s="109">
        <f>E21/E$26</f>
        <v/>
      </c>
      <c r="T21" s="109">
        <f>F21/F$26</f>
        <v/>
      </c>
      <c r="U21" s="109">
        <f>G21/G$26</f>
        <v/>
      </c>
      <c r="V21" s="109">
        <f>H21/H$26</f>
        <v/>
      </c>
      <c r="W21" s="109">
        <f>I21/I$26</f>
        <v/>
      </c>
      <c r="X21" s="109">
        <f>J21/J$26</f>
        <v/>
      </c>
      <c r="Y21" s="109">
        <f>K21/K$26</f>
        <v/>
      </c>
      <c r="Z21" s="109">
        <f>L21/L$26</f>
        <v/>
      </c>
      <c r="AA21" s="109">
        <f>M21/M$26</f>
        <v/>
      </c>
      <c r="AB21" s="109">
        <f>N21/N$26</f>
        <v/>
      </c>
      <c r="AC21" s="109">
        <f>O21/O$26</f>
        <v/>
      </c>
      <c r="AD21" s="111">
        <f>P21/P$26</f>
        <v/>
      </c>
    </row>
    <row r="22" ht="30" customFormat="1" customHeight="1" s="77">
      <c r="B22" s="89" t="inlineStr">
        <is>
          <t>其他费用（指定）</t>
        </is>
      </c>
      <c r="C22" s="92" t="inlineStr">
        <is>
          <t xml:space="preserve"> </t>
        </is>
      </c>
      <c r="D22" s="481" t="n">
        <v>14</v>
      </c>
      <c r="E22" s="481" t="n">
        <v>4</v>
      </c>
      <c r="F22" s="481" t="n">
        <v>24</v>
      </c>
      <c r="G22" s="481" t="n">
        <v>6</v>
      </c>
      <c r="H22" s="481" t="n">
        <v>20</v>
      </c>
      <c r="I22" s="481" t="n">
        <v>14</v>
      </c>
      <c r="J22" s="481" t="n">
        <v>21</v>
      </c>
      <c r="K22" s="481" t="n">
        <v>20</v>
      </c>
      <c r="L22" s="481" t="n">
        <v>22</v>
      </c>
      <c r="M22" s="481" t="n">
        <v>3</v>
      </c>
      <c r="N22" s="481" t="n">
        <v>14</v>
      </c>
      <c r="O22" s="481" t="n">
        <v>6</v>
      </c>
      <c r="P22" s="489">
        <f>SUM(tblExpenses[[#This Row],[1 月]:[12 月]])</f>
        <v/>
      </c>
      <c r="Q22" s="107" t="n">
        <v>0.01</v>
      </c>
      <c r="R22" s="109">
        <f>D22/D$26</f>
        <v/>
      </c>
      <c r="S22" s="109">
        <f>E22/E$26</f>
        <v/>
      </c>
      <c r="T22" s="109">
        <f>F22/F$26</f>
        <v/>
      </c>
      <c r="U22" s="109">
        <f>G22/G$26</f>
        <v/>
      </c>
      <c r="V22" s="109">
        <f>H22/H$26</f>
        <v/>
      </c>
      <c r="W22" s="109">
        <f>I22/I$26</f>
        <v/>
      </c>
      <c r="X22" s="109">
        <f>J22/J$26</f>
        <v/>
      </c>
      <c r="Y22" s="109">
        <f>K22/K$26</f>
        <v/>
      </c>
      <c r="Z22" s="109">
        <f>L22/L$26</f>
        <v/>
      </c>
      <c r="AA22" s="109">
        <f>M22/M$26</f>
        <v/>
      </c>
      <c r="AB22" s="109">
        <f>N22/N$26</f>
        <v/>
      </c>
      <c r="AC22" s="109">
        <f>O22/O$26</f>
        <v/>
      </c>
      <c r="AD22" s="111">
        <f>P22/P$26</f>
        <v/>
      </c>
    </row>
    <row r="23" ht="30" customFormat="1" customHeight="1" s="77">
      <c r="B23" s="89" t="inlineStr">
        <is>
          <t>其他费用（指定）</t>
        </is>
      </c>
      <c r="C23" s="92" t="inlineStr">
        <is>
          <t xml:space="preserve"> </t>
        </is>
      </c>
      <c r="D23" s="481" t="n">
        <v>14</v>
      </c>
      <c r="E23" s="481" t="n">
        <v>7</v>
      </c>
      <c r="F23" s="481" t="n">
        <v>24</v>
      </c>
      <c r="G23" s="481" t="n">
        <v>10</v>
      </c>
      <c r="H23" s="481" t="n">
        <v>7</v>
      </c>
      <c r="I23" s="481" t="n">
        <v>24</v>
      </c>
      <c r="J23" s="481" t="n">
        <v>2</v>
      </c>
      <c r="K23" s="481" t="n">
        <v>11</v>
      </c>
      <c r="L23" s="481" t="n">
        <v>21</v>
      </c>
      <c r="M23" s="481" t="n">
        <v>19</v>
      </c>
      <c r="N23" s="481" t="n">
        <v>19</v>
      </c>
      <c r="O23" s="481" t="n">
        <v>20</v>
      </c>
      <c r="P23" s="489">
        <f>SUM(tblExpenses[[#This Row],[1 月]:[12 月]])</f>
        <v/>
      </c>
      <c r="Q23" s="107" t="n">
        <v>0.01</v>
      </c>
      <c r="R23" s="109">
        <f>D23/D$26</f>
        <v/>
      </c>
      <c r="S23" s="109">
        <f>E23/E$26</f>
        <v/>
      </c>
      <c r="T23" s="109">
        <f>F23/F$26</f>
        <v/>
      </c>
      <c r="U23" s="109">
        <f>G23/G$26</f>
        <v/>
      </c>
      <c r="V23" s="109">
        <f>H23/H$26</f>
        <v/>
      </c>
      <c r="W23" s="109">
        <f>I23/I$26</f>
        <v/>
      </c>
      <c r="X23" s="109">
        <f>J23/J$26</f>
        <v/>
      </c>
      <c r="Y23" s="109">
        <f>K23/K$26</f>
        <v/>
      </c>
      <c r="Z23" s="109">
        <f>L23/L$26</f>
        <v/>
      </c>
      <c r="AA23" s="109">
        <f>M23/M$26</f>
        <v/>
      </c>
      <c r="AB23" s="109">
        <f>N23/N$26</f>
        <v/>
      </c>
      <c r="AC23" s="109">
        <f>O23/O$26</f>
        <v/>
      </c>
      <c r="AD23" s="111">
        <f>P23/P$26</f>
        <v/>
      </c>
    </row>
    <row r="24" ht="30" customFormat="1" customHeight="1" s="77">
      <c r="B24" s="89" t="inlineStr">
        <is>
          <t>其他费用（指定）</t>
        </is>
      </c>
      <c r="C24" s="92" t="inlineStr">
        <is>
          <t xml:space="preserve"> </t>
        </is>
      </c>
      <c r="D24" s="481" t="n">
        <v>11</v>
      </c>
      <c r="E24" s="481" t="n">
        <v>8</v>
      </c>
      <c r="F24" s="481" t="n">
        <v>25</v>
      </c>
      <c r="G24" s="481" t="n">
        <v>11</v>
      </c>
      <c r="H24" s="481" t="n">
        <v>9</v>
      </c>
      <c r="I24" s="481" t="n">
        <v>24</v>
      </c>
      <c r="J24" s="481" t="n">
        <v>13</v>
      </c>
      <c r="K24" s="481" t="n">
        <v>14</v>
      </c>
      <c r="L24" s="481" t="n">
        <v>19</v>
      </c>
      <c r="M24" s="481" t="n">
        <v>24</v>
      </c>
      <c r="N24" s="481" t="n">
        <v>15</v>
      </c>
      <c r="O24" s="481" t="n">
        <v>7</v>
      </c>
      <c r="P24" s="489">
        <f>SUM(tblExpenses[[#This Row],[1 月]:[12 月]])</f>
        <v/>
      </c>
      <c r="Q24" s="107" t="n">
        <v>0.01</v>
      </c>
      <c r="R24" s="109">
        <f>D24/D$26</f>
        <v/>
      </c>
      <c r="S24" s="109">
        <f>E24/E$26</f>
        <v/>
      </c>
      <c r="T24" s="109">
        <f>F24/F$26</f>
        <v/>
      </c>
      <c r="U24" s="109">
        <f>G24/G$26</f>
        <v/>
      </c>
      <c r="V24" s="109">
        <f>H24/H$26</f>
        <v/>
      </c>
      <c r="W24" s="109">
        <f>I24/I$26</f>
        <v/>
      </c>
      <c r="X24" s="109">
        <f>J24/J$26</f>
        <v/>
      </c>
      <c r="Y24" s="109">
        <f>K24/K$26</f>
        <v/>
      </c>
      <c r="Z24" s="109">
        <f>L24/L$26</f>
        <v/>
      </c>
      <c r="AA24" s="109">
        <f>M24/M$26</f>
        <v/>
      </c>
      <c r="AB24" s="109">
        <f>N24/N$26</f>
        <v/>
      </c>
      <c r="AC24" s="109">
        <f>O24/O$26</f>
        <v/>
      </c>
      <c r="AD24" s="111">
        <f>P24/P$26</f>
        <v/>
      </c>
    </row>
    <row r="25" ht="30" customFormat="1" customHeight="1" s="77">
      <c r="B25" s="89" t="inlineStr">
        <is>
          <t>杂项（未指定）</t>
        </is>
      </c>
      <c r="C25" s="92" t="inlineStr">
        <is>
          <t xml:space="preserve"> </t>
        </is>
      </c>
      <c r="D25" s="481" t="n">
        <v>8</v>
      </c>
      <c r="E25" s="481" t="n">
        <v>20</v>
      </c>
      <c r="F25" s="481" t="n">
        <v>11</v>
      </c>
      <c r="G25" s="481" t="n">
        <v>11</v>
      </c>
      <c r="H25" s="481" t="n">
        <v>11</v>
      </c>
      <c r="I25" s="481" t="n">
        <v>20</v>
      </c>
      <c r="J25" s="481" t="n">
        <v>12</v>
      </c>
      <c r="K25" s="481" t="n">
        <v>16</v>
      </c>
      <c r="L25" s="481" t="n">
        <v>5</v>
      </c>
      <c r="M25" s="481" t="n">
        <v>7</v>
      </c>
      <c r="N25" s="481" t="n">
        <v>21</v>
      </c>
      <c r="O25" s="481" t="n">
        <v>3</v>
      </c>
      <c r="P25" s="490">
        <f>SUM(tblExpenses[[#This Row],[1 月]:[12 月]])</f>
        <v/>
      </c>
      <c r="Q25" s="107" t="n">
        <v>0.02</v>
      </c>
      <c r="R25" s="109">
        <f>D25/D$26</f>
        <v/>
      </c>
      <c r="S25" s="109">
        <f>E25/E$26</f>
        <v/>
      </c>
      <c r="T25" s="109">
        <f>F25/F$26</f>
        <v/>
      </c>
      <c r="U25" s="109">
        <f>G25/G$26</f>
        <v/>
      </c>
      <c r="V25" s="109">
        <f>H25/H$26</f>
        <v/>
      </c>
      <c r="W25" s="109">
        <f>I25/I$26</f>
        <v/>
      </c>
      <c r="X25" s="109">
        <f>J25/J$26</f>
        <v/>
      </c>
      <c r="Y25" s="109">
        <f>K25/K$26</f>
        <v/>
      </c>
      <c r="Z25" s="109">
        <f>L25/L$26</f>
        <v/>
      </c>
      <c r="AA25" s="109">
        <f>M25/M$26</f>
        <v/>
      </c>
      <c r="AB25" s="109">
        <f>N25/N$26</f>
        <v/>
      </c>
      <c r="AC25" s="109">
        <f>O25/O$26</f>
        <v/>
      </c>
      <c r="AD25" s="111">
        <f>P25/P$26</f>
        <v/>
      </c>
    </row>
    <row r="26" ht="30" customFormat="1" customHeight="1" s="77">
      <c r="B26" s="93" t="inlineStr">
        <is>
          <t>费用总计</t>
        </is>
      </c>
      <c r="C26" s="92" t="n"/>
      <c r="D26" s="481">
        <f>SUM(D7:D25)</f>
        <v/>
      </c>
      <c r="E26" s="481">
        <f>SUM(E7:E25)</f>
        <v/>
      </c>
      <c r="F26" s="481">
        <f>SUM(F7:F25)</f>
        <v/>
      </c>
      <c r="G26" s="485">
        <f>SUM(G7:G25)</f>
        <v/>
      </c>
      <c r="H26" s="485">
        <f>SUM(H7:H25)</f>
        <v/>
      </c>
      <c r="I26" s="485">
        <f>SUM(I7:I25)</f>
        <v/>
      </c>
      <c r="J26" s="485">
        <f>SUM(J7:J25)</f>
        <v/>
      </c>
      <c r="K26" s="485">
        <f>SUM(K7:K25)</f>
        <v/>
      </c>
      <c r="L26" s="485">
        <f>SUM(L7:L25)</f>
        <v/>
      </c>
      <c r="M26" s="485">
        <f>SUM(M7:M25)</f>
        <v/>
      </c>
      <c r="N26" s="485">
        <f>SUM(N7:N25)</f>
        <v/>
      </c>
      <c r="O26" s="485">
        <f>SUM(O7:O25)</f>
        <v/>
      </c>
      <c r="P26" s="491">
        <f>SUM(tblExpenses[[#This Row],[1 月]:[12 月]])</f>
        <v/>
      </c>
      <c r="Q26" s="110">
        <f>SUM(Q7:Q25)</f>
        <v/>
      </c>
      <c r="R26" s="111">
        <f>D26/D$26</f>
        <v/>
      </c>
      <c r="S26" s="111">
        <f>E26/E$26</f>
        <v/>
      </c>
      <c r="T26" s="111">
        <f>F26/F$26</f>
        <v/>
      </c>
      <c r="U26" s="111">
        <f>G26/G$26</f>
        <v/>
      </c>
      <c r="V26" s="111">
        <f>H26/H$26</f>
        <v/>
      </c>
      <c r="W26" s="111">
        <f>I26/I$26</f>
        <v/>
      </c>
      <c r="X26" s="111">
        <f>J26/J$26</f>
        <v/>
      </c>
      <c r="Y26" s="111">
        <f>K26/K$26</f>
        <v/>
      </c>
      <c r="Z26" s="111">
        <f>L26/L$26</f>
        <v/>
      </c>
      <c r="AA26" s="111">
        <f>M26/M$26</f>
        <v/>
      </c>
      <c r="AB26" s="111">
        <f>N26/N$26</f>
        <v/>
      </c>
      <c r="AC26" s="111">
        <f>O26/O$26</f>
        <v/>
      </c>
      <c r="AD26" s="111">
        <f>P26/P$26</f>
        <v/>
      </c>
    </row>
    <row r="27" ht="30" customFormat="1" customHeight="1" s="77">
      <c r="B27" s="87" t="inlineStr">
        <is>
          <t>净利润</t>
        </is>
      </c>
      <c r="C27" s="95" t="n"/>
      <c r="D27" s="480">
        <f>成本!D15-D26</f>
        <v/>
      </c>
      <c r="E27" s="480">
        <f>成本!E15-E26</f>
        <v/>
      </c>
      <c r="F27" s="480">
        <f>成本!F15-F26</f>
        <v/>
      </c>
      <c r="G27" s="480">
        <f>成本!G15-G26</f>
        <v/>
      </c>
      <c r="H27" s="480">
        <f>成本!H15-H26</f>
        <v/>
      </c>
      <c r="I27" s="480">
        <f>成本!I15-I26</f>
        <v/>
      </c>
      <c r="J27" s="480">
        <f>成本!J15-J26</f>
        <v/>
      </c>
      <c r="K27" s="480">
        <f>成本!K15-K26</f>
        <v/>
      </c>
      <c r="L27" s="480">
        <f>成本!L15-L26</f>
        <v/>
      </c>
      <c r="M27" s="480">
        <f>成本!M15-M26</f>
        <v/>
      </c>
      <c r="N27" s="480">
        <f>成本!N15-N26</f>
        <v/>
      </c>
      <c r="O27" s="480">
        <f>成本!O15-O26</f>
        <v/>
      </c>
      <c r="P27" s="480">
        <f>成本!P15-P26</f>
        <v/>
      </c>
      <c r="Q27" s="112" t="n"/>
      <c r="R27" s="112" t="n"/>
      <c r="S27" s="112" t="n"/>
      <c r="T27" s="112" t="n"/>
      <c r="U27" s="112" t="n"/>
      <c r="V27" s="112" t="n"/>
      <c r="W27" s="112" t="n"/>
      <c r="X27" s="112" t="n"/>
      <c r="Y27" s="112" t="n"/>
      <c r="Z27" s="112" t="n"/>
      <c r="AA27" s="112" t="n"/>
      <c r="AB27" s="112" t="n"/>
      <c r="AC27" s="112" t="n"/>
      <c r="AD27" s="112" t="n"/>
    </row>
    <row r="32" ht="30" customHeight="1">
      <c r="L32" s="487" t="n"/>
    </row>
  </sheetData>
  <dataValidations count="9">
    <dataValidation sqref="A1" showDropDown="0" showInputMessage="1" showErrorMessage="1" allowBlank="1" prompt="此工作表计算每个项目的每月支出、每年支出和年度总支出。将根据毛利润和总支出自动计算净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theme="9" tint="-0.499984740745262"/>
    <outlinePr summaryBelow="1" summaryRight="1"/>
    <pageSetUpPr autoPageBreaks="0" fitToPage="1"/>
  </sheetPr>
  <dimension ref="B2:M20"/>
  <sheetViews>
    <sheetView showGridLines="0" workbookViewId="0">
      <selection activeCell="G9" sqref="G9"/>
    </sheetView>
  </sheetViews>
  <sheetFormatPr baseColWidth="10" defaultColWidth="9" defaultRowHeight="30" customHeight="1"/>
  <cols>
    <col width="2.6640625" customWidth="1" style="1" min="1" max="1"/>
    <col width="22.1640625" customWidth="1" style="1" min="2" max="2"/>
    <col width="21.1640625" customWidth="1" style="1" min="3" max="3"/>
    <col width="23.83203125" customWidth="1" style="1" min="4" max="4"/>
    <col width="21.1640625" customWidth="1" style="1" min="5" max="5"/>
    <col width="14.33203125" customWidth="1" style="1" min="6" max="9"/>
    <col width="12.6640625" customWidth="1" style="1" min="10" max="10"/>
    <col width="17" customWidth="1" style="1" min="11" max="11"/>
    <col width="11.6640625" customWidth="1" style="1" min="12" max="12"/>
    <col width="15" customWidth="1" style="1" min="13" max="13"/>
    <col width="3.1640625" customWidth="1" style="1" min="14" max="14"/>
    <col width="9" customWidth="1" style="1" min="15" max="16384"/>
  </cols>
  <sheetData>
    <row r="2" ht="30" customHeight="1">
      <c r="B2" s="379" t="inlineStr">
        <is>
          <t>包含双倍递减折旧计算的固定资产记录</t>
        </is>
      </c>
      <c r="C2" s="492" t="n"/>
      <c r="D2" s="492" t="n"/>
      <c r="E2" s="492" t="n"/>
      <c r="F2" s="492" t="n"/>
      <c r="G2" s="492" t="n"/>
      <c r="H2" s="492" t="n"/>
      <c r="I2" s="492" t="n"/>
      <c r="J2" s="492" t="n"/>
      <c r="K2" s="492" t="n"/>
      <c r="L2" s="492" t="n"/>
      <c r="M2" s="492" t="n"/>
    </row>
    <row r="3" ht="30" customHeight="1">
      <c r="B3" s="2" t="inlineStr">
        <is>
          <t>资产名称</t>
        </is>
      </c>
      <c r="C3" s="3" t="inlineStr">
        <is>
          <t>资产类别</t>
        </is>
      </c>
      <c r="D3" s="3" t="inlineStr">
        <is>
          <t>描述</t>
        </is>
      </c>
      <c r="E3" s="3" t="inlineStr">
        <is>
          <t>图片</t>
        </is>
      </c>
      <c r="F3" s="3" t="inlineStr">
        <is>
          <t>成片</t>
        </is>
      </c>
      <c r="G3" s="3" t="inlineStr">
        <is>
          <t>序列号</t>
        </is>
      </c>
      <c r="H3" s="3" t="inlineStr">
        <is>
          <t>购进日期</t>
        </is>
      </c>
      <c r="I3" s="3" t="inlineStr">
        <is>
          <t>购进价格</t>
        </is>
      </c>
      <c r="J3" s="3" t="inlineStr">
        <is>
          <t>估计使用寿命（年）</t>
        </is>
      </c>
      <c r="K3" s="3" t="inlineStr">
        <is>
          <t>估计折旧残值</t>
        </is>
      </c>
      <c r="L3" s="3" t="inlineStr">
        <is>
          <t>折旧年限</t>
        </is>
      </c>
      <c r="M3" s="27" t="inlineStr">
        <is>
          <t>估计双倍递减折旧值</t>
        </is>
      </c>
    </row>
    <row r="4" ht="30" customHeight="1">
      <c r="B4" s="4" t="inlineStr">
        <is>
          <t>香染衣罗原创【隆客吟】紫色印花衫子三裥裙蓝色齐胸裙汉服套装</t>
        </is>
      </c>
      <c r="C4" s="4" t="inlineStr">
        <is>
          <t>汉服</t>
        </is>
      </c>
      <c r="D4" s="4" t="inlineStr">
        <is>
          <t>天水葡萄酒厂行政办公楼</t>
        </is>
      </c>
      <c r="E4" s="4" t="n"/>
      <c r="F4" s="5" t="n">
        <v>2</v>
      </c>
      <c r="G4" s="6" t="inlineStr">
        <is>
          <t>无</t>
        </is>
      </c>
      <c r="H4" s="493" t="n">
        <v>43990</v>
      </c>
      <c r="I4" s="494" t="n">
        <v>480000</v>
      </c>
      <c r="J4" s="29" t="n">
        <v>20</v>
      </c>
      <c r="K4" s="494" t="n">
        <v>100000</v>
      </c>
      <c r="L4" s="5" t="n">
        <v>2</v>
      </c>
      <c r="M4" s="495">
        <f>IF(AND(I4&lt;&gt;0,K4&lt;&gt;0,J4&lt;&gt;0,L4&lt;&gt;0),DDB(I4,K4,J4,L4),"")</f>
        <v/>
      </c>
    </row>
    <row r="5" ht="30" customHeight="1">
      <c r="B5" s="4" t="inlineStr">
        <is>
          <t>行政办公楼服务器</t>
        </is>
      </c>
      <c r="C5" s="4" t="inlineStr">
        <is>
          <t>机械和设备</t>
        </is>
      </c>
      <c r="D5" s="4" t="inlineStr">
        <is>
          <t>用于存储公司文件的服务器</t>
        </is>
      </c>
      <c r="E5" s="4" t="inlineStr">
        <is>
          <t>行政办公楼 4 层</t>
        </is>
      </c>
      <c r="F5" s="8" t="inlineStr">
        <is>
          <t>14</t>
        </is>
      </c>
      <c r="G5" s="9" t="inlineStr">
        <is>
          <t>4463-22A</t>
        </is>
      </c>
      <c r="H5" s="493" t="n">
        <v>38146</v>
      </c>
      <c r="I5" s="494" t="n">
        <v>124000</v>
      </c>
      <c r="J5" s="31" t="n">
        <v>5</v>
      </c>
      <c r="K5" s="494" t="n">
        <v>20000</v>
      </c>
      <c r="L5" s="8" t="n">
        <v>2</v>
      </c>
      <c r="M5" s="495">
        <f>IF(AND(I5&lt;&gt;0,K5&lt;&gt;0,J5&lt;&gt;0,L5&lt;&gt;0),DDB(I5,K5,J5,L5),"")</f>
        <v/>
      </c>
    </row>
    <row r="6" ht="30" customHeight="1">
      <c r="B6" s="4" t="n"/>
      <c r="C6" s="4" t="n"/>
      <c r="D6" s="4" t="n"/>
      <c r="E6" s="4" t="n"/>
      <c r="F6" s="8" t="n"/>
      <c r="G6" s="9" t="n"/>
      <c r="H6" s="493" t="n"/>
      <c r="I6" s="494" t="n"/>
      <c r="J6" s="31" t="n"/>
      <c r="K6" s="494" t="n"/>
      <c r="L6" s="8" t="n"/>
      <c r="M6" s="495">
        <f>IF(AND(I6&lt;&gt;0,K6&lt;&gt;0,J6&lt;&gt;0,L6&lt;&gt;0),DDB(I6,K6,J6,L6),"")</f>
        <v/>
      </c>
    </row>
    <row r="7" ht="30" customHeight="1">
      <c r="B7" s="4" t="n"/>
      <c r="C7" s="4" t="n"/>
      <c r="D7" s="4" t="n"/>
      <c r="E7" s="8" t="n"/>
      <c r="F7" s="8" t="n"/>
      <c r="G7" s="9" t="n"/>
      <c r="H7" s="493" t="n"/>
      <c r="I7" s="494" t="n"/>
      <c r="J7" s="31" t="n"/>
      <c r="K7" s="494" t="n"/>
      <c r="L7" s="8" t="n"/>
      <c r="M7" s="495">
        <f>IF(AND(I7&lt;&gt;0,K7&lt;&gt;0,J7&lt;&gt;0,L7&lt;&gt;0),DDB(I7,K7,J7,L7),"")</f>
        <v/>
      </c>
    </row>
    <row r="8" ht="30" customHeight="1">
      <c r="B8" s="11" t="n"/>
      <c r="C8" s="11" t="n"/>
      <c r="D8" s="11" t="n"/>
      <c r="E8" s="11" t="n"/>
      <c r="F8" s="11" t="n"/>
      <c r="G8" s="11" t="n"/>
      <c r="H8" s="11" t="n"/>
      <c r="I8" s="11" t="n"/>
      <c r="J8" s="11" t="n"/>
      <c r="K8" s="11" t="n"/>
      <c r="L8" s="11" t="n"/>
      <c r="M8" s="11" t="n"/>
    </row>
    <row r="9" ht="30" customHeight="1">
      <c r="B9" s="11" t="n"/>
      <c r="C9" s="11" t="n"/>
      <c r="D9" s="11" t="n"/>
      <c r="E9" s="11" t="n"/>
      <c r="F9" s="11" t="n"/>
      <c r="G9" s="11" t="n"/>
      <c r="H9" s="11" t="n"/>
      <c r="I9" s="11" t="n"/>
      <c r="J9" s="11" t="n"/>
      <c r="K9" s="11" t="n"/>
      <c r="L9" s="11" t="n"/>
      <c r="M9" s="11" t="n"/>
    </row>
    <row r="10" ht="30" customHeight="1">
      <c r="B10" s="379" t="inlineStr">
        <is>
          <t>包含固定递减折旧计算的固定资产记录</t>
        </is>
      </c>
      <c r="C10" s="492" t="n"/>
      <c r="D10" s="492" t="n"/>
      <c r="E10" s="492" t="n"/>
      <c r="F10" s="492" t="n"/>
      <c r="G10" s="492" t="n"/>
      <c r="H10" s="492" t="n"/>
      <c r="I10" s="492" t="n"/>
      <c r="J10" s="492" t="n"/>
      <c r="K10" s="492" t="n"/>
      <c r="L10" s="492" t="n"/>
      <c r="M10" s="492" t="n"/>
    </row>
    <row r="11" ht="30" customHeight="1">
      <c r="B11" s="2" t="inlineStr">
        <is>
          <t>资产名称</t>
        </is>
      </c>
      <c r="C11" s="3" t="inlineStr">
        <is>
          <t>资产类别</t>
        </is>
      </c>
      <c r="D11" s="3" t="inlineStr">
        <is>
          <t>描述</t>
        </is>
      </c>
      <c r="E11" s="3" t="inlineStr">
        <is>
          <t>物理位置</t>
        </is>
      </c>
      <c r="F11" s="3" t="inlineStr">
        <is>
          <t>资产编号</t>
        </is>
      </c>
      <c r="G11" s="3" t="inlineStr">
        <is>
          <t>序列号</t>
        </is>
      </c>
      <c r="H11" s="3" t="inlineStr">
        <is>
          <t>购进日期</t>
        </is>
      </c>
      <c r="I11" s="3" t="inlineStr">
        <is>
          <t>购进价格</t>
        </is>
      </c>
      <c r="J11" s="3" t="inlineStr">
        <is>
          <t>估计使用寿命（年）</t>
        </is>
      </c>
      <c r="K11" s="3" t="inlineStr">
        <is>
          <t>估计折旧残值</t>
        </is>
      </c>
      <c r="L11" s="3" t="inlineStr">
        <is>
          <t>折旧年限</t>
        </is>
      </c>
      <c r="M11" s="27" t="inlineStr">
        <is>
          <t>估计固定递减折旧值</t>
        </is>
      </c>
    </row>
    <row r="12" ht="30" customHeight="1">
      <c r="B12" s="4" t="inlineStr">
        <is>
          <t>行政办公楼</t>
        </is>
      </c>
      <c r="C12" s="4" t="inlineStr">
        <is>
          <t>建筑物</t>
        </is>
      </c>
      <c r="D12" s="4" t="inlineStr">
        <is>
          <t>天水葡萄酒厂行政办公楼</t>
        </is>
      </c>
      <c r="E12" s="4" t="inlineStr">
        <is>
          <t>幸福大街 123 号</t>
        </is>
      </c>
      <c r="F12" s="5" t="n">
        <v>2</v>
      </c>
      <c r="G12" s="6" t="inlineStr">
        <is>
          <t>无</t>
        </is>
      </c>
      <c r="H12" s="496" t="n">
        <v>37661</v>
      </c>
      <c r="I12" s="497" t="n">
        <v>480000</v>
      </c>
      <c r="J12" s="29" t="n">
        <v>20</v>
      </c>
      <c r="K12" s="497" t="n">
        <v>100000</v>
      </c>
      <c r="L12" s="5" t="n">
        <v>2</v>
      </c>
      <c r="M12" s="495">
        <f>IF(AND(I12&lt;&gt;0,K12&lt;&gt;0,J12&lt;&gt;0,L12&lt;&gt;0),DB(I12,K12,J12,L12),"")</f>
        <v/>
      </c>
    </row>
    <row r="13" ht="30" customHeight="1">
      <c r="B13" s="4" t="inlineStr">
        <is>
          <t>行政办公楼服务器</t>
        </is>
      </c>
      <c r="C13" s="4" t="inlineStr">
        <is>
          <t>机械和设备</t>
        </is>
      </c>
      <c r="D13" s="12" t="inlineStr">
        <is>
          <t>用于存储公司文件的服务器</t>
        </is>
      </c>
      <c r="E13" s="4" t="inlineStr">
        <is>
          <t>行政办公楼 4 层</t>
        </is>
      </c>
      <c r="F13" s="8" t="n">
        <v>14</v>
      </c>
      <c r="G13" s="9" t="inlineStr">
        <is>
          <t>4463-22A</t>
        </is>
      </c>
      <c r="H13" s="493" t="n">
        <v>38146</v>
      </c>
      <c r="I13" s="494" t="n">
        <v>124000</v>
      </c>
      <c r="J13" s="31" t="n">
        <v>5</v>
      </c>
      <c r="K13" s="494" t="n">
        <v>20000</v>
      </c>
      <c r="L13" s="8" t="n">
        <v>2</v>
      </c>
      <c r="M13" s="495">
        <f>IF(AND(I13&lt;&gt;0,K13&lt;&gt;0,J13&lt;&gt;0,L13&lt;&gt;0),DB(I13,K13,J13,L13),"")</f>
        <v/>
      </c>
    </row>
    <row r="14" ht="30" customHeight="1">
      <c r="B14" s="4" t="n"/>
      <c r="C14" s="4" t="n"/>
      <c r="D14" s="4" t="n"/>
      <c r="E14" s="4" t="n"/>
      <c r="F14" s="8" t="n"/>
      <c r="G14" s="9" t="n"/>
      <c r="H14" s="493" t="n"/>
      <c r="I14" s="494" t="n"/>
      <c r="J14" s="31" t="n"/>
      <c r="K14" s="494" t="n"/>
      <c r="L14" s="8" t="n"/>
      <c r="M14" s="495">
        <f>IF(AND(I14&lt;&gt;0,K14&lt;&gt;0,J14&lt;&gt;0,L14&lt;&gt;0),DB(I14,K14,J14,L14),"")</f>
        <v/>
      </c>
    </row>
    <row r="16" ht="30" customHeight="1">
      <c r="B16" s="381" t="inlineStr">
        <is>
          <t>包含直线折旧计算的固定资产记录</t>
        </is>
      </c>
      <c r="C16" s="498" t="n"/>
      <c r="D16" s="498" t="n"/>
      <c r="E16" s="498" t="n"/>
      <c r="F16" s="498" t="n"/>
      <c r="G16" s="498" t="n"/>
      <c r="H16" s="498" t="n"/>
      <c r="I16" s="498" t="n"/>
      <c r="J16" s="498" t="n"/>
      <c r="K16" s="498" t="n"/>
      <c r="L16" s="498" t="n"/>
    </row>
    <row r="17" ht="30" customHeight="1">
      <c r="B17" s="13" t="inlineStr">
        <is>
          <t>资产名称</t>
        </is>
      </c>
      <c r="C17" s="14" t="inlineStr">
        <is>
          <t>资产类别</t>
        </is>
      </c>
      <c r="D17" s="14" t="inlineStr">
        <is>
          <t>描述</t>
        </is>
      </c>
      <c r="E17" s="14" t="inlineStr">
        <is>
          <t>物理位置</t>
        </is>
      </c>
      <c r="F17" s="14" t="inlineStr">
        <is>
          <t>资产编号</t>
        </is>
      </c>
      <c r="G17" s="14" t="inlineStr">
        <is>
          <t>序列号</t>
        </is>
      </c>
      <c r="H17" s="14" t="inlineStr">
        <is>
          <t>购进日期</t>
        </is>
      </c>
      <c r="I17" s="14" t="inlineStr">
        <is>
          <t>购进价格</t>
        </is>
      </c>
      <c r="J17" s="14" t="inlineStr">
        <is>
          <t>估计使用寿命（年）</t>
        </is>
      </c>
      <c r="K17" s="14" t="inlineStr">
        <is>
          <t>估计折旧残值</t>
        </is>
      </c>
      <c r="L17" s="33" t="inlineStr">
        <is>
          <t>估计直线折旧值</t>
        </is>
      </c>
    </row>
    <row r="18" ht="30" customHeight="1">
      <c r="B18" s="15" t="inlineStr">
        <is>
          <t>行政办公楼</t>
        </is>
      </c>
      <c r="C18" s="15" t="inlineStr">
        <is>
          <t>建筑物</t>
        </is>
      </c>
      <c r="D18" s="15" t="inlineStr">
        <is>
          <t>天水葡萄酒厂行政办公楼</t>
        </is>
      </c>
      <c r="E18" s="15" t="inlineStr">
        <is>
          <t>幸福大街 123 号</t>
        </is>
      </c>
      <c r="F18" s="16" t="n">
        <v>2</v>
      </c>
      <c r="G18" s="17" t="inlineStr">
        <is>
          <t>无</t>
        </is>
      </c>
      <c r="H18" s="499" t="n">
        <v>36931</v>
      </c>
      <c r="I18" s="500" t="n">
        <v>480000</v>
      </c>
      <c r="J18" s="16" t="inlineStr">
        <is>
          <t>20</t>
        </is>
      </c>
      <c r="K18" s="500" t="n">
        <v>100000</v>
      </c>
      <c r="L18" s="501">
        <f>IF(AND(I18&lt;&gt;0,K18&lt;&gt;0,J18&lt;&gt;0),SLN(I18,K18,J18),"")</f>
        <v/>
      </c>
    </row>
    <row r="19" ht="30" customHeight="1">
      <c r="B19" s="19" t="inlineStr">
        <is>
          <t>行政办公楼服务器</t>
        </is>
      </c>
      <c r="C19" s="19" t="inlineStr">
        <is>
          <t>机械和设备</t>
        </is>
      </c>
      <c r="D19" s="19" t="inlineStr">
        <is>
          <t>用于存储公司文件的服务器</t>
        </is>
      </c>
      <c r="E19" s="19" t="inlineStr">
        <is>
          <t>行政办公楼 4 层</t>
        </is>
      </c>
      <c r="F19" s="20" t="n">
        <v>14</v>
      </c>
      <c r="G19" s="21" t="inlineStr">
        <is>
          <t>4463-22A</t>
        </is>
      </c>
      <c r="H19" s="502" t="n">
        <v>38146</v>
      </c>
      <c r="I19" s="503" t="n">
        <v>124000</v>
      </c>
      <c r="J19" s="20" t="n">
        <v>5</v>
      </c>
      <c r="K19" s="503" t="n">
        <v>20000</v>
      </c>
      <c r="L19" s="504">
        <f>IF(AND(I19&lt;&gt;0,K19&lt;&gt;0,J19&lt;&gt;0),SLN(I19,K19,J19),"")</f>
        <v/>
      </c>
    </row>
    <row r="20" ht="30" customHeight="1">
      <c r="B20" s="23" t="n"/>
      <c r="C20" s="23" t="n"/>
      <c r="D20" s="23" t="n"/>
      <c r="E20" s="23" t="n"/>
      <c r="F20" s="24" t="n"/>
      <c r="G20" s="25" t="n"/>
      <c r="H20" s="505" t="n"/>
      <c r="I20" s="506" t="n"/>
      <c r="J20" s="24" t="n"/>
      <c r="K20" s="506" t="n"/>
      <c r="L20" s="504">
        <f>IF(AND(I20&lt;&gt;0,K20&lt;&gt;0,J20&lt;&gt;0),SLN(I20,K20,J20),"")</f>
        <v/>
      </c>
    </row>
  </sheetData>
  <mergeCells count="3">
    <mergeCell ref="B16:L16"/>
    <mergeCell ref="B2:M2"/>
    <mergeCell ref="B10:M10"/>
  </mergeCells>
  <printOptions horizontalCentered="1"/>
  <pageMargins left="0.4" right="0.4" top="0.4" bottom="0.4" header="0.3" footer="0.3"/>
  <pageSetup orientation="landscape" paperSize="9" fitToHeight="0"/>
  <headerFooter differentFirst="1">
    <oddHeader/>
    <oddFooter>&amp;CPage &amp;P of &amp;N</oddFooter>
    <evenHeader/>
    <evenFooter/>
    <firstHeader/>
    <firstFooter/>
  </headerFooter>
</worksheet>
</file>

<file path=xl/worksheets/sheet9.xml><?xml version="1.0" encoding="utf-8"?>
<worksheet xmlns="http://schemas.openxmlformats.org/spreadsheetml/2006/main">
  <sheetPr>
    <tabColor theme="9" tint="-0.499984740745262"/>
    <outlinePr summaryBelow="1" summaryRight="1"/>
    <pageSetUpPr fitToPage="1"/>
  </sheetPr>
  <dimension ref="A1:O49"/>
  <sheetViews>
    <sheetView showGridLines="0" zoomScale="108" zoomScaleNormal="108" workbookViewId="0">
      <selection activeCell="G49" sqref="G49"/>
    </sheetView>
  </sheetViews>
  <sheetFormatPr baseColWidth="10" defaultColWidth="9" defaultRowHeight="14"/>
  <cols>
    <col width="2.6640625" customWidth="1" style="40" min="1" max="1"/>
    <col width="19.5" customWidth="1" style="41" min="2" max="2"/>
    <col width="17.6640625" customWidth="1" style="41" min="3" max="3"/>
    <col width="11.1640625" customWidth="1" style="41" min="4" max="9"/>
    <col width="11.1640625" customWidth="1" min="10" max="10"/>
    <col width="11.1640625" customWidth="1" style="41" min="11" max="15"/>
    <col width="9" customWidth="1" style="41" min="16" max="16384"/>
  </cols>
  <sheetData>
    <row r="1" ht="16.5" customHeight="1">
      <c r="A1" s="40" t="inlineStr">
        <is>
          <t>在此工作表中创建资产负债表。此列的单元格中显示有关如何使用此工作表的有用说明。向下移动箭头以开始了解。</t>
        </is>
      </c>
      <c r="B1" s="386" t="n">
        <v>2025</v>
      </c>
      <c r="D1" s="384" t="n"/>
      <c r="E1" s="384" t="n"/>
      <c r="F1" s="384" t="n"/>
      <c r="G1" s="384" t="n"/>
      <c r="H1" s="384" t="n"/>
      <c r="I1" s="384" t="n"/>
      <c r="J1" s="384" t="n"/>
      <c r="K1" s="384" t="n"/>
      <c r="L1" s="384" t="n"/>
      <c r="M1" s="384" t="n"/>
      <c r="N1" s="384" t="n"/>
      <c r="O1" s="384" t="inlineStr">
        <is>
          <t>资产负责表</t>
        </is>
      </c>
    </row>
    <row r="2" ht="17.25" customHeight="1">
      <c r="A2" s="40" t="inlineStr">
        <is>
          <t>在右侧单元格中输入公司名称。此工作表的标题位于单元格 D1 中。下一条指示位于单元格 A4 中。</t>
        </is>
      </c>
      <c r="B2" s="507" t="n"/>
      <c r="C2" s="507" t="n"/>
      <c r="D2" s="507" t="n"/>
      <c r="E2" s="507" t="n"/>
      <c r="F2" s="507" t="n"/>
      <c r="G2" s="507" t="n"/>
      <c r="H2" s="507" t="n"/>
      <c r="I2" s="507" t="n"/>
      <c r="J2" s="507" t="n"/>
      <c r="K2" s="507" t="n"/>
      <c r="L2" s="507" t="n"/>
      <c r="M2" s="507" t="n"/>
      <c r="N2" s="507" t="n"/>
      <c r="O2" s="507" t="n"/>
    </row>
    <row r="3" ht="18.75" customHeight="1">
      <c r="B3" s="43" t="n"/>
      <c r="C3" s="43" t="n"/>
      <c r="D3" s="43" t="n"/>
      <c r="E3" s="43" t="n"/>
      <c r="F3" s="43" t="n"/>
      <c r="G3" s="43" t="n"/>
      <c r="H3" s="43" t="n"/>
      <c r="I3" s="43" t="n"/>
      <c r="J3" s="43" t="n"/>
      <c r="K3" s="43" t="n"/>
      <c r="L3" s="43" t="n"/>
      <c r="M3" s="43" t="n"/>
      <c r="N3" s="43" t="n"/>
      <c r="O3" s="43" t="n"/>
    </row>
    <row r="4" ht="16" customHeight="1">
      <c r="A4" s="40" t="inlineStr">
        <is>
          <t>资产标签位于右侧单元格中。</t>
        </is>
      </c>
      <c r="B4" s="44" t="inlineStr">
        <is>
          <t>资产</t>
        </is>
      </c>
      <c r="D4" s="45" t="n"/>
      <c r="E4" s="45" t="n"/>
      <c r="F4" s="45" t="n"/>
      <c r="G4" s="45" t="n"/>
      <c r="H4" s="45" t="n"/>
      <c r="I4" s="45" t="n"/>
      <c r="O4" s="45" t="n"/>
    </row>
    <row r="5" ht="15" customFormat="1" customHeight="1" s="39">
      <c r="A5" s="46" t="inlineStr">
        <is>
          <t>从右侧单元格开始，在“流动资产”表格中输入详细信息。下一条说明位于单元格 A14 中。</t>
        </is>
      </c>
      <c r="B5" s="47" t="inlineStr">
        <is>
          <t>流动资产：</t>
        </is>
      </c>
      <c r="C5" s="48" t="inlineStr">
        <is>
          <t>上一年度</t>
        </is>
      </c>
      <c r="D5" s="48" t="inlineStr">
        <is>
          <t>1月</t>
        </is>
      </c>
      <c r="E5" s="48" t="inlineStr">
        <is>
          <t>2月</t>
        </is>
      </c>
      <c r="F5" s="48" t="inlineStr">
        <is>
          <t>3月</t>
        </is>
      </c>
      <c r="G5" s="48" t="inlineStr">
        <is>
          <t>4月</t>
        </is>
      </c>
      <c r="H5" s="48" t="inlineStr">
        <is>
          <t>5月</t>
        </is>
      </c>
      <c r="I5" s="48" t="inlineStr">
        <is>
          <t>6月</t>
        </is>
      </c>
      <c r="J5" s="48" t="inlineStr">
        <is>
          <t>7月</t>
        </is>
      </c>
      <c r="K5" s="48" t="inlineStr">
        <is>
          <t>8月</t>
        </is>
      </c>
      <c r="L5" s="48" t="inlineStr">
        <is>
          <t>9月</t>
        </is>
      </c>
      <c r="M5" s="48" t="inlineStr">
        <is>
          <t>10月</t>
        </is>
      </c>
      <c r="N5" s="48" t="inlineStr">
        <is>
          <t>11月</t>
        </is>
      </c>
      <c r="O5" s="48" t="inlineStr">
        <is>
          <t>12月</t>
        </is>
      </c>
    </row>
    <row r="6" ht="15" customHeight="1">
      <c r="B6" s="49" t="inlineStr">
        <is>
          <t>现金</t>
        </is>
      </c>
      <c r="C6" s="508">
        <f>现金流量表!D67</f>
        <v/>
      </c>
      <c r="D6" s="508" t="n">
        <v>0</v>
      </c>
      <c r="E6" s="509" t="n">
        <v>0</v>
      </c>
      <c r="F6" s="509" t="n">
        <v>0</v>
      </c>
      <c r="G6" s="509" t="n">
        <v>0</v>
      </c>
      <c r="H6" s="509" t="n">
        <v>0</v>
      </c>
      <c r="I6" s="509" t="n">
        <v>0</v>
      </c>
      <c r="J6" s="509" t="n">
        <v>0</v>
      </c>
      <c r="K6" s="509" t="n">
        <v>0</v>
      </c>
      <c r="L6" s="509" t="n">
        <v>0</v>
      </c>
      <c r="M6" s="509" t="n">
        <v>0</v>
      </c>
      <c r="N6" s="509" t="n">
        <v>0</v>
      </c>
      <c r="O6" s="509" t="n">
        <v>0</v>
      </c>
    </row>
    <row r="7" ht="15" customHeight="1">
      <c r="B7" s="49" t="inlineStr">
        <is>
          <t>投资</t>
        </is>
      </c>
      <c r="C7" s="508" t="n">
        <v>0</v>
      </c>
      <c r="D7" s="508" t="n">
        <v>0</v>
      </c>
      <c r="E7" s="509" t="n">
        <v>0</v>
      </c>
      <c r="F7" s="509" t="n">
        <v>0</v>
      </c>
      <c r="G7" s="509" t="n">
        <v>0</v>
      </c>
      <c r="H7" s="509" t="n">
        <v>0</v>
      </c>
      <c r="I7" s="509" t="n">
        <v>0</v>
      </c>
      <c r="J7" s="509" t="n">
        <v>0</v>
      </c>
      <c r="K7" s="509" t="n">
        <v>0</v>
      </c>
      <c r="L7" s="509" t="n">
        <v>0</v>
      </c>
      <c r="M7" s="509" t="n">
        <v>0</v>
      </c>
      <c r="N7" s="509" t="n">
        <v>0</v>
      </c>
      <c r="O7" s="509" t="n">
        <v>0</v>
      </c>
    </row>
    <row r="8" ht="15" customHeight="1">
      <c r="B8" s="49" t="inlineStr">
        <is>
          <t>库存</t>
        </is>
      </c>
      <c r="C8" s="508" t="n">
        <v>0</v>
      </c>
      <c r="D8" s="508" t="n">
        <v>0</v>
      </c>
      <c r="E8" s="509" t="n">
        <v>0</v>
      </c>
      <c r="F8" s="509" t="n">
        <v>0</v>
      </c>
      <c r="G8" s="509" t="n">
        <v>0</v>
      </c>
      <c r="H8" s="509" t="n">
        <v>0</v>
      </c>
      <c r="I8" s="509" t="n">
        <v>0</v>
      </c>
      <c r="J8" s="509" t="n">
        <v>0</v>
      </c>
      <c r="K8" s="509" t="n">
        <v>0</v>
      </c>
      <c r="L8" s="509" t="n">
        <v>0</v>
      </c>
      <c r="M8" s="509" t="n">
        <v>0</v>
      </c>
      <c r="N8" s="509" t="n">
        <v>0</v>
      </c>
      <c r="O8" s="509" t="n">
        <v>0</v>
      </c>
    </row>
    <row r="9" ht="15" customHeight="1">
      <c r="B9" s="49" t="inlineStr">
        <is>
          <t>应收帐款</t>
        </is>
      </c>
      <c r="C9" s="508" t="n">
        <v>0</v>
      </c>
      <c r="D9" s="508" t="n">
        <v>0</v>
      </c>
      <c r="E9" s="509" t="n">
        <v>0</v>
      </c>
      <c r="F9" s="509" t="n">
        <v>0</v>
      </c>
      <c r="G9" s="509" t="n">
        <v>0</v>
      </c>
      <c r="H9" s="509" t="n">
        <v>0</v>
      </c>
      <c r="I9" s="509" t="n">
        <v>0</v>
      </c>
      <c r="J9" s="509" t="n">
        <v>0</v>
      </c>
      <c r="K9" s="509" t="n">
        <v>0</v>
      </c>
      <c r="L9" s="509" t="n">
        <v>0</v>
      </c>
      <c r="M9" s="509" t="n">
        <v>0</v>
      </c>
      <c r="N9" s="509" t="n">
        <v>0</v>
      </c>
      <c r="O9" s="509" t="n">
        <v>0</v>
      </c>
    </row>
    <row r="10" ht="15" customHeight="1">
      <c r="B10" s="49" t="inlineStr">
        <is>
          <t>预付费用</t>
        </is>
      </c>
      <c r="C10" s="508" t="n">
        <v>0</v>
      </c>
      <c r="D10" s="508" t="n">
        <v>0</v>
      </c>
      <c r="E10" s="509" t="n">
        <v>0</v>
      </c>
      <c r="F10" s="509" t="n">
        <v>0</v>
      </c>
      <c r="G10" s="509" t="n">
        <v>0</v>
      </c>
      <c r="H10" s="509" t="n">
        <v>0</v>
      </c>
      <c r="I10" s="509" t="n">
        <v>0</v>
      </c>
      <c r="J10" s="509" t="n">
        <v>0</v>
      </c>
      <c r="K10" s="509" t="n">
        <v>0</v>
      </c>
      <c r="L10" s="509" t="n">
        <v>0</v>
      </c>
      <c r="M10" s="509" t="n">
        <v>0</v>
      </c>
      <c r="N10" s="509" t="n">
        <v>0</v>
      </c>
      <c r="O10" s="509" t="n">
        <v>0</v>
      </c>
    </row>
    <row r="11" ht="15" customHeight="1">
      <c r="B11" s="52" t="inlineStr">
        <is>
          <t>其他</t>
        </is>
      </c>
      <c r="C11" s="510" t="n">
        <v>0</v>
      </c>
      <c r="D11" s="510" t="n">
        <v>0</v>
      </c>
      <c r="E11" s="511" t="n">
        <v>0</v>
      </c>
      <c r="F11" s="511" t="n">
        <v>0</v>
      </c>
      <c r="G11" s="511" t="n">
        <v>0</v>
      </c>
      <c r="H11" s="511" t="n">
        <v>0</v>
      </c>
      <c r="I11" s="511" t="n">
        <v>0</v>
      </c>
      <c r="J11" s="511" t="n">
        <v>0</v>
      </c>
      <c r="K11" s="511" t="n">
        <v>0</v>
      </c>
      <c r="L11" s="511" t="n">
        <v>0</v>
      </c>
      <c r="M11" s="511" t="n">
        <v>0</v>
      </c>
      <c r="N11" s="511" t="n">
        <v>0</v>
      </c>
      <c r="O11" s="511" t="n">
        <v>0</v>
      </c>
    </row>
    <row r="12" ht="15" customFormat="1" customHeight="1" s="39">
      <c r="A12" s="46" t="n"/>
      <c r="B12" s="55" t="inlineStr">
        <is>
          <t>流动资产总额</t>
        </is>
      </c>
      <c r="C12" s="512">
        <f>SUBTOTAL(109,流动资产[上一年度])</f>
        <v/>
      </c>
      <c r="D12" s="512">
        <f>SUBTOTAL(109,流动资产[1月])</f>
        <v/>
      </c>
      <c r="E12" s="512">
        <f>SUBTOTAL(109,流动资产[2月])</f>
        <v/>
      </c>
      <c r="F12" s="512">
        <f>SUBTOTAL(109,流动资产[3月])</f>
        <v/>
      </c>
      <c r="G12" s="512">
        <f>SUBTOTAL(109,流动资产[4月])</f>
        <v/>
      </c>
      <c r="H12" s="512">
        <f>SUBTOTAL(109,流动资产[5月])</f>
        <v/>
      </c>
      <c r="I12" s="512">
        <f>SUBTOTAL(109,流动资产[6月])</f>
        <v/>
      </c>
      <c r="J12" s="512">
        <f>SUBTOTAL(109,流动资产[7月])</f>
        <v/>
      </c>
      <c r="K12" s="512">
        <f>SUBTOTAL(109,流动资产[8月])</f>
        <v/>
      </c>
      <c r="L12" s="512">
        <f>SUBTOTAL(109,流动资产[9月])</f>
        <v/>
      </c>
      <c r="M12" s="512">
        <f>SUBTOTAL(109,流动资产[10月])</f>
        <v/>
      </c>
      <c r="N12" s="512">
        <f>SUBTOTAL(109,流动资产[11月])</f>
        <v/>
      </c>
      <c r="O12" s="512">
        <f>SUBTOTAL(109,流动资产[12月])</f>
        <v/>
      </c>
    </row>
    <row r="13">
      <c r="J13" s="41" t="n"/>
    </row>
    <row r="14" ht="15" customFormat="1" customHeight="1" s="39">
      <c r="A14" s="46" t="inlineStr">
        <is>
          <t>从右侧单元格开始，在“固定资产”表格中输入详细信息。下一条说明位于单元格 A21 中。</t>
        </is>
      </c>
      <c r="B14" s="47" t="inlineStr">
        <is>
          <t>固定资产：</t>
        </is>
      </c>
      <c r="C14" s="48" t="inlineStr">
        <is>
          <t>上一年度</t>
        </is>
      </c>
      <c r="D14" s="48" t="inlineStr">
        <is>
          <t>1月</t>
        </is>
      </c>
      <c r="E14" s="48" t="inlineStr">
        <is>
          <t>2月</t>
        </is>
      </c>
      <c r="F14" s="48" t="inlineStr">
        <is>
          <t>3月</t>
        </is>
      </c>
      <c r="G14" s="48" t="inlineStr">
        <is>
          <t>4月</t>
        </is>
      </c>
      <c r="H14" s="48" t="inlineStr">
        <is>
          <t>5月</t>
        </is>
      </c>
      <c r="I14" s="48" t="inlineStr">
        <is>
          <t>6月</t>
        </is>
      </c>
      <c r="J14" s="48" t="inlineStr">
        <is>
          <t>7月</t>
        </is>
      </c>
      <c r="K14" s="48" t="inlineStr">
        <is>
          <t>8月</t>
        </is>
      </c>
      <c r="L14" s="48" t="inlineStr">
        <is>
          <t>9月</t>
        </is>
      </c>
      <c r="M14" s="48" t="inlineStr">
        <is>
          <t>10月</t>
        </is>
      </c>
      <c r="N14" s="48" t="inlineStr">
        <is>
          <t>11月</t>
        </is>
      </c>
      <c r="O14" s="48" t="inlineStr">
        <is>
          <t>12月</t>
        </is>
      </c>
    </row>
    <row r="15" ht="15" customHeight="1">
      <c r="B15" s="49" t="inlineStr">
        <is>
          <t>财产和设备</t>
        </is>
      </c>
      <c r="C15" s="508" t="n">
        <v>0</v>
      </c>
      <c r="D15" s="508" t="n">
        <v>0</v>
      </c>
      <c r="E15" s="509" t="n">
        <v>0</v>
      </c>
      <c r="F15" s="509" t="n">
        <v>0</v>
      </c>
      <c r="G15" s="509" t="n">
        <v>0</v>
      </c>
      <c r="H15" s="509" t="n">
        <v>0</v>
      </c>
      <c r="I15" s="509" t="n">
        <v>0</v>
      </c>
      <c r="J15" s="509" t="n">
        <v>0</v>
      </c>
      <c r="K15" s="509" t="n">
        <v>0</v>
      </c>
      <c r="L15" s="509" t="n">
        <v>0</v>
      </c>
      <c r="M15" s="509" t="n">
        <v>0</v>
      </c>
      <c r="N15" s="509" t="n">
        <v>0</v>
      </c>
      <c r="O15" s="509" t="n">
        <v>0</v>
      </c>
    </row>
    <row r="16" ht="15" customHeight="1">
      <c r="B16" s="49" t="inlineStr">
        <is>
          <t>租赁权益改良</t>
        </is>
      </c>
      <c r="C16" s="508" t="n">
        <v>0</v>
      </c>
      <c r="D16" s="508" t="n">
        <v>0</v>
      </c>
      <c r="E16" s="509" t="n">
        <v>0</v>
      </c>
      <c r="F16" s="509" t="n">
        <v>0</v>
      </c>
      <c r="G16" s="509" t="n">
        <v>0</v>
      </c>
      <c r="H16" s="509" t="n">
        <v>0</v>
      </c>
      <c r="I16" s="509" t="n">
        <v>0</v>
      </c>
      <c r="J16" s="509" t="n">
        <v>0</v>
      </c>
      <c r="K16" s="509" t="n">
        <v>0</v>
      </c>
      <c r="L16" s="509" t="n">
        <v>0</v>
      </c>
      <c r="M16" s="509" t="n">
        <v>0</v>
      </c>
      <c r="N16" s="509" t="n">
        <v>0</v>
      </c>
      <c r="O16" s="509" t="n">
        <v>0</v>
      </c>
    </row>
    <row r="17" ht="15" customHeight="1">
      <c r="B17" s="49" t="inlineStr">
        <is>
          <t>所有者权益及其他投资</t>
        </is>
      </c>
      <c r="C17" s="508" t="n">
        <v>0</v>
      </c>
      <c r="D17" s="508" t="n">
        <v>0</v>
      </c>
      <c r="E17" s="509" t="n">
        <v>0</v>
      </c>
      <c r="F17" s="509" t="n">
        <v>0</v>
      </c>
      <c r="G17" s="509" t="n">
        <v>0</v>
      </c>
      <c r="H17" s="509" t="n">
        <v>0</v>
      </c>
      <c r="I17" s="509" t="n">
        <v>0</v>
      </c>
      <c r="J17" s="509" t="n">
        <v>0</v>
      </c>
      <c r="K17" s="509" t="n">
        <v>0</v>
      </c>
      <c r="L17" s="509" t="n">
        <v>0</v>
      </c>
      <c r="M17" s="509" t="n">
        <v>0</v>
      </c>
      <c r="N17" s="509" t="n">
        <v>0</v>
      </c>
      <c r="O17" s="509" t="n">
        <v>0</v>
      </c>
    </row>
    <row r="18" ht="15" customHeight="1">
      <c r="B18" s="52" t="inlineStr">
        <is>
          <t>减去累计折旧</t>
        </is>
      </c>
      <c r="C18" s="510" t="n">
        <v>0</v>
      </c>
      <c r="D18" s="510" t="n">
        <v>0</v>
      </c>
      <c r="E18" s="511" t="n">
        <v>0</v>
      </c>
      <c r="F18" s="511" t="n">
        <v>0</v>
      </c>
      <c r="G18" s="511" t="n">
        <v>0</v>
      </c>
      <c r="H18" s="511" t="n">
        <v>0</v>
      </c>
      <c r="I18" s="511" t="n">
        <v>0</v>
      </c>
      <c r="J18" s="511" t="n">
        <v>0</v>
      </c>
      <c r="K18" s="511" t="n">
        <v>0</v>
      </c>
      <c r="L18" s="511" t="n">
        <v>0</v>
      </c>
      <c r="M18" s="511" t="n">
        <v>0</v>
      </c>
      <c r="N18" s="511" t="n">
        <v>0</v>
      </c>
      <c r="O18" s="511" t="n">
        <v>0</v>
      </c>
    </row>
    <row r="19" ht="15" customFormat="1" customHeight="1" s="39">
      <c r="A19" s="46" t="n"/>
      <c r="B19" s="55" t="inlineStr">
        <is>
          <t>固定资产总额</t>
        </is>
      </c>
      <c r="C19" s="512">
        <f>SUBTOTAL(109,固定资产[上一年度])</f>
        <v/>
      </c>
      <c r="D19" s="512">
        <f>SUBTOTAL(109,固定资产[1月])</f>
        <v/>
      </c>
      <c r="E19" s="512">
        <f>SUBTOTAL(109,固定资产[2月])</f>
        <v/>
      </c>
      <c r="F19" s="512">
        <f>SUBTOTAL(109,固定资产[3月])</f>
        <v/>
      </c>
      <c r="G19" s="512">
        <f>SUBTOTAL(109,固定资产[4月])</f>
        <v/>
      </c>
      <c r="H19" s="512">
        <f>SUBTOTAL(109,固定资产[5月])</f>
        <v/>
      </c>
      <c r="I19" s="512">
        <f>SUBTOTAL(109,固定资产[6月])</f>
        <v/>
      </c>
      <c r="J19" s="512">
        <f>SUBTOTAL(109,固定资产[7月])</f>
        <v/>
      </c>
      <c r="K19" s="512">
        <f>SUBTOTAL(109,固定资产[8月])</f>
        <v/>
      </c>
      <c r="L19" s="512">
        <f>SUBTOTAL(109,固定资产[9月])</f>
        <v/>
      </c>
      <c r="M19" s="512">
        <f>SUBTOTAL(109,固定资产[10月])</f>
        <v/>
      </c>
      <c r="N19" s="512">
        <f>SUBTOTAL(109,固定资产[11月])</f>
        <v/>
      </c>
      <c r="O19" s="512">
        <f>SUBTOTAL(109,固定资产[12月])</f>
        <v/>
      </c>
    </row>
    <row r="20">
      <c r="J20" s="41" t="n"/>
    </row>
    <row r="21" ht="15" customFormat="1" customHeight="1" s="39">
      <c r="A21" s="46" t="inlineStr">
        <is>
          <t>从右侧单元格开始，在“其他资产”表格中输入详细信息。下一条说明位于单元格 A25 中。</t>
        </is>
      </c>
      <c r="B21" s="47" t="inlineStr">
        <is>
          <t>其他资产：</t>
        </is>
      </c>
      <c r="C21" s="48" t="inlineStr">
        <is>
          <t>上一年度</t>
        </is>
      </c>
      <c r="D21" s="48" t="inlineStr">
        <is>
          <t>1月</t>
        </is>
      </c>
      <c r="E21" s="48" t="inlineStr">
        <is>
          <t>2月</t>
        </is>
      </c>
      <c r="F21" s="48" t="inlineStr">
        <is>
          <t>3月</t>
        </is>
      </c>
      <c r="G21" s="48" t="inlineStr">
        <is>
          <t>4月</t>
        </is>
      </c>
      <c r="H21" s="48" t="inlineStr">
        <is>
          <t>5月</t>
        </is>
      </c>
      <c r="I21" s="48" t="inlineStr">
        <is>
          <t>6月</t>
        </is>
      </c>
      <c r="J21" s="48" t="inlineStr">
        <is>
          <t>7月</t>
        </is>
      </c>
      <c r="K21" s="48" t="inlineStr">
        <is>
          <t>8月</t>
        </is>
      </c>
      <c r="L21" s="48" t="inlineStr">
        <is>
          <t>9月</t>
        </is>
      </c>
      <c r="M21" s="48" t="inlineStr">
        <is>
          <t>10月</t>
        </is>
      </c>
      <c r="N21" s="48" t="inlineStr">
        <is>
          <t>11月</t>
        </is>
      </c>
      <c r="O21" s="48" t="inlineStr">
        <is>
          <t>12月</t>
        </is>
      </c>
    </row>
    <row r="22" ht="15" customHeight="1">
      <c r="B22" s="52" t="inlineStr">
        <is>
          <t>商誉</t>
        </is>
      </c>
      <c r="C22" s="510" t="n">
        <v>0</v>
      </c>
      <c r="D22" s="510" t="n">
        <v>0</v>
      </c>
      <c r="E22" s="511" t="n">
        <v>0</v>
      </c>
      <c r="F22" s="511" t="n">
        <v>0</v>
      </c>
      <c r="G22" s="511" t="n">
        <v>0</v>
      </c>
      <c r="H22" s="511" t="n">
        <v>0</v>
      </c>
      <c r="I22" s="511" t="n">
        <v>0</v>
      </c>
      <c r="J22" s="511" t="n">
        <v>0</v>
      </c>
      <c r="K22" s="511" t="n">
        <v>0</v>
      </c>
      <c r="L22" s="511" t="n">
        <v>0</v>
      </c>
      <c r="M22" s="511" t="n">
        <v>0</v>
      </c>
      <c r="N22" s="511" t="n">
        <v>0</v>
      </c>
      <c r="O22" s="511" t="n">
        <v>0</v>
      </c>
    </row>
    <row r="23" ht="15" customFormat="1" customHeight="1" s="39">
      <c r="A23" s="46" t="n"/>
      <c r="B23" s="55" t="inlineStr">
        <is>
          <t>其他资产总额</t>
        </is>
      </c>
      <c r="C23" s="512">
        <f>SUBTOTAL(109,其他资产[上一年度])</f>
        <v/>
      </c>
      <c r="D23" s="512">
        <f>SUBTOTAL(109,其他资产[1月])</f>
        <v/>
      </c>
      <c r="E23" s="512">
        <f>SUBTOTAL(109,其他资产[2月])</f>
        <v/>
      </c>
      <c r="F23" s="512">
        <f>SUBTOTAL(109,其他资产[3月])</f>
        <v/>
      </c>
      <c r="G23" s="512">
        <f>SUBTOTAL(109,其他资产[4月])</f>
        <v/>
      </c>
      <c r="H23" s="512">
        <f>SUBTOTAL(109,其他资产[5月])</f>
        <v/>
      </c>
      <c r="I23" s="512">
        <f>SUBTOTAL(109,其他资产[6月])</f>
        <v/>
      </c>
      <c r="J23" s="512">
        <f>SUBTOTAL(109,其他资产[7月])</f>
        <v/>
      </c>
      <c r="K23" s="512">
        <f>SUBTOTAL(109,其他资产[8月])</f>
        <v/>
      </c>
      <c r="L23" s="512">
        <f>SUBTOTAL(109,其他资产[9月])</f>
        <v/>
      </c>
      <c r="M23" s="512">
        <f>SUBTOTAL(109,其他资产[10月])</f>
        <v/>
      </c>
      <c r="N23" s="512">
        <f>SUBTOTAL(109,其他资产[11月])</f>
        <v/>
      </c>
      <c r="O23" s="512">
        <f>SUBTOTAL(109,其他资产[12月])</f>
        <v/>
      </c>
    </row>
    <row r="24">
      <c r="B24" s="57" t="n"/>
      <c r="D24" s="45" t="n"/>
      <c r="E24" s="45" t="n"/>
      <c r="F24" s="45" t="n"/>
      <c r="G24" s="45" t="n"/>
      <c r="H24" s="45" t="n"/>
      <c r="I24" s="45" t="n"/>
      <c r="J24" s="45" t="n"/>
      <c r="K24" s="45" t="n"/>
      <c r="L24" s="45" t="n"/>
      <c r="M24" s="45" t="n"/>
      <c r="N24" s="45" t="n"/>
      <c r="O24" s="45" t="n"/>
    </row>
    <row r="25" ht="18" customHeight="1">
      <c r="A25" s="40" t="inlineStr">
        <is>
          <t>单元格 C25 中自动计算上一年度的资产总额，单元格 D25 中自动计算当前年度的资产总额。下一条说明位于单元格 A27 中。</t>
        </is>
      </c>
      <c r="B25" s="58" t="inlineStr">
        <is>
          <t>资产总额</t>
        </is>
      </c>
      <c r="C25" s="513">
        <f>其他资产[[#Totals],[上一年度]]+固定资产[[#Totals],[上一年度]]+流动资产[[#Totals],[上一年度]]</f>
        <v/>
      </c>
      <c r="D25" s="513">
        <f>其他资产[[#Totals],[1月]]+固定资产[[#Totals],[1月]]+流动资产[[#Totals],[1月]]</f>
        <v/>
      </c>
      <c r="E25" s="513">
        <f>其他资产[[#Totals],[2月]]+固定资产[[#Totals],[2月]]+流动资产[[#Totals],[2月]]</f>
        <v/>
      </c>
      <c r="F25" s="513">
        <f>其他资产[[#Totals],[3月]]+固定资产[[#Totals],[3月]]+流动资产[[#Totals],[3月]]</f>
        <v/>
      </c>
      <c r="G25" s="513">
        <f>其他资产[[#Totals],[4月]]+固定资产[[#Totals],[4月]]+流动资产[[#Totals],[4月]]</f>
        <v/>
      </c>
      <c r="H25" s="513">
        <f>其他资产[[#Totals],[5月]]+固定资产[[#Totals],[5月]]+流动资产[[#Totals],[5月]]</f>
        <v/>
      </c>
      <c r="I25" s="513">
        <f>其他资产[[#Totals],[6月]]+固定资产[[#Totals],[6月]]+流动资产[[#Totals],[6月]]</f>
        <v/>
      </c>
      <c r="J25" s="513">
        <f>其他资产[[#Totals],[7月]]+固定资产[[#Totals],[7月]]+流动资产[[#Totals],[7月]]</f>
        <v/>
      </c>
      <c r="K25" s="513">
        <f>其他资产[[#Totals],[8月]]+固定资产[[#Totals],[8月]]+流动资产[[#Totals],[8月]]</f>
        <v/>
      </c>
      <c r="L25" s="513">
        <f>其他资产[[#Totals],[9月]]+固定资产[[#Totals],[9月]]+流动资产[[#Totals],[9月]]</f>
        <v/>
      </c>
      <c r="M25" s="513">
        <f>其他资产[[#Totals],[10月]]+固定资产[[#Totals],[10月]]+流动资产[[#Totals],[10月]]</f>
        <v/>
      </c>
      <c r="N25" s="513">
        <f>其他资产[[#Totals],[11月]]+固定资产[[#Totals],[11月]]+流动资产[[#Totals],[11月]]</f>
        <v/>
      </c>
      <c r="O25" s="513">
        <f>其他资产[[#Totals],[12月]]+固定资产[[#Totals],[12月]]+流动资产[[#Totals],[12月]]</f>
        <v/>
      </c>
    </row>
    <row r="26" ht="18.75" customHeight="1">
      <c r="B26" s="60" t="n"/>
      <c r="C26" s="61" t="n"/>
      <c r="D26" s="61" t="n"/>
      <c r="E26" s="61" t="n"/>
      <c r="F26" s="61" t="n"/>
      <c r="G26" s="61" t="n"/>
      <c r="H26" s="61" t="n"/>
      <c r="I26" s="61" t="n"/>
      <c r="J26" s="61" t="n"/>
      <c r="K26" s="61" t="n"/>
      <c r="L26" s="61" t="n"/>
      <c r="M26" s="61" t="n"/>
      <c r="N26" s="61" t="n"/>
      <c r="O26" s="61" t="n"/>
    </row>
    <row r="27" ht="16" customHeight="1">
      <c r="A27" s="40" t="inlineStr">
        <is>
          <t>负债和所有者权益标签位于右侧单元格中。</t>
        </is>
      </c>
      <c r="B27" s="44" t="inlineStr">
        <is>
          <t>负债和所有者权益</t>
        </is>
      </c>
      <c r="D27" s="45" t="n"/>
      <c r="E27" s="45" t="n"/>
      <c r="F27" s="45" t="n"/>
      <c r="G27" s="45" t="n"/>
      <c r="H27" s="45" t="n"/>
      <c r="I27" s="45" t="n"/>
      <c r="J27" s="45" t="n"/>
      <c r="K27" s="45" t="n"/>
      <c r="L27" s="45" t="n"/>
      <c r="M27" s="45" t="n"/>
      <c r="N27" s="45" t="n"/>
      <c r="O27" s="45" t="n"/>
    </row>
    <row r="28" ht="15" customFormat="1" customHeight="1" s="39">
      <c r="A28" s="46" t="inlineStr">
        <is>
          <t>从右侧单元格开始，在“流动负债”表格中输入详细信息。下一条指示位于单元格 A37 中。</t>
        </is>
      </c>
      <c r="B28" s="62" t="inlineStr">
        <is>
          <t>流动负债：</t>
        </is>
      </c>
      <c r="C28" s="63" t="inlineStr">
        <is>
          <t>上一年度</t>
        </is>
      </c>
      <c r="D28" s="63" t="inlineStr">
        <is>
          <t>1月</t>
        </is>
      </c>
      <c r="E28" s="63" t="inlineStr">
        <is>
          <t>2月</t>
        </is>
      </c>
      <c r="F28" s="63" t="inlineStr">
        <is>
          <t>3月</t>
        </is>
      </c>
      <c r="G28" s="63" t="inlineStr">
        <is>
          <t>4月</t>
        </is>
      </c>
      <c r="H28" s="63" t="inlineStr">
        <is>
          <t>5月</t>
        </is>
      </c>
      <c r="I28" s="63" t="inlineStr">
        <is>
          <t>6月</t>
        </is>
      </c>
      <c r="J28" s="63" t="inlineStr">
        <is>
          <t>7月</t>
        </is>
      </c>
      <c r="K28" s="63" t="inlineStr">
        <is>
          <t>8月</t>
        </is>
      </c>
      <c r="L28" s="63" t="inlineStr">
        <is>
          <t>9月</t>
        </is>
      </c>
      <c r="M28" s="63" t="inlineStr">
        <is>
          <t>10月</t>
        </is>
      </c>
      <c r="N28" s="63" t="inlineStr">
        <is>
          <t>11月</t>
        </is>
      </c>
      <c r="O28" s="63" t="inlineStr">
        <is>
          <t>12月</t>
        </is>
      </c>
    </row>
    <row r="29" ht="15" customHeight="1">
      <c r="B29" s="64" t="inlineStr">
        <is>
          <t>应付帐款</t>
        </is>
      </c>
      <c r="C29" s="514" t="n">
        <v>0</v>
      </c>
      <c r="D29" s="514" t="n">
        <v>0</v>
      </c>
      <c r="E29" s="515" t="n">
        <v>0</v>
      </c>
      <c r="F29" s="515" t="n">
        <v>0</v>
      </c>
      <c r="G29" s="515" t="n">
        <v>0</v>
      </c>
      <c r="H29" s="515" t="n">
        <v>0</v>
      </c>
      <c r="I29" s="515" t="n">
        <v>0</v>
      </c>
      <c r="J29" s="515" t="n">
        <v>0</v>
      </c>
      <c r="K29" s="515" t="n">
        <v>0</v>
      </c>
      <c r="L29" s="515" t="n">
        <v>0</v>
      </c>
      <c r="M29" s="515" t="n">
        <v>0</v>
      </c>
      <c r="N29" s="515" t="n">
        <v>0</v>
      </c>
      <c r="O29" s="515" t="n">
        <v>0</v>
      </c>
    </row>
    <row r="30" ht="15" customHeight="1">
      <c r="B30" s="64" t="inlineStr">
        <is>
          <t>应付工资</t>
        </is>
      </c>
      <c r="C30" s="514" t="n">
        <v>0</v>
      </c>
      <c r="D30" s="514" t="n">
        <v>0</v>
      </c>
      <c r="E30" s="515" t="n">
        <v>0</v>
      </c>
      <c r="F30" s="515" t="n">
        <v>0</v>
      </c>
      <c r="G30" s="515" t="n">
        <v>0</v>
      </c>
      <c r="H30" s="515" t="n">
        <v>0</v>
      </c>
      <c r="I30" s="515" t="n">
        <v>0</v>
      </c>
      <c r="J30" s="515" t="n">
        <v>0</v>
      </c>
      <c r="K30" s="515" t="n">
        <v>0</v>
      </c>
      <c r="L30" s="515" t="n">
        <v>0</v>
      </c>
      <c r="M30" s="515" t="n">
        <v>0</v>
      </c>
      <c r="N30" s="515" t="n">
        <v>0</v>
      </c>
      <c r="O30" s="515" t="n">
        <v>0</v>
      </c>
    </row>
    <row r="31" ht="15" customHeight="1">
      <c r="B31" s="64" t="inlineStr">
        <is>
          <t>应付薪酬</t>
        </is>
      </c>
      <c r="C31" s="514" t="n">
        <v>0</v>
      </c>
      <c r="D31" s="514" t="n">
        <v>0</v>
      </c>
      <c r="E31" s="515" t="n">
        <v>0</v>
      </c>
      <c r="F31" s="515" t="n">
        <v>0</v>
      </c>
      <c r="G31" s="515" t="n">
        <v>0</v>
      </c>
      <c r="H31" s="515" t="n">
        <v>0</v>
      </c>
      <c r="I31" s="515" t="n">
        <v>0</v>
      </c>
      <c r="J31" s="515" t="n">
        <v>0</v>
      </c>
      <c r="K31" s="515" t="n">
        <v>0</v>
      </c>
      <c r="L31" s="515" t="n">
        <v>0</v>
      </c>
      <c r="M31" s="515" t="n">
        <v>0</v>
      </c>
      <c r="N31" s="515" t="n">
        <v>0</v>
      </c>
      <c r="O31" s="515" t="n">
        <v>0</v>
      </c>
    </row>
    <row r="32" ht="15" customHeight="1">
      <c r="B32" s="64" t="inlineStr">
        <is>
          <t>应付所得税</t>
        </is>
      </c>
      <c r="C32" s="514" t="n">
        <v>0</v>
      </c>
      <c r="D32" s="514" t="n">
        <v>0</v>
      </c>
      <c r="E32" s="515" t="n">
        <v>0</v>
      </c>
      <c r="F32" s="515" t="n">
        <v>0</v>
      </c>
      <c r="G32" s="515" t="n">
        <v>0</v>
      </c>
      <c r="H32" s="515" t="n">
        <v>0</v>
      </c>
      <c r="I32" s="515" t="n">
        <v>0</v>
      </c>
      <c r="J32" s="515" t="n">
        <v>0</v>
      </c>
      <c r="K32" s="515" t="n">
        <v>0</v>
      </c>
      <c r="L32" s="515" t="n">
        <v>0</v>
      </c>
      <c r="M32" s="515" t="n">
        <v>0</v>
      </c>
      <c r="N32" s="515" t="n">
        <v>0</v>
      </c>
      <c r="O32" s="515" t="n">
        <v>0</v>
      </c>
    </row>
    <row r="33" ht="15" customHeight="1">
      <c r="B33" s="64" t="inlineStr">
        <is>
          <t>预收收入</t>
        </is>
      </c>
      <c r="C33" s="514" t="n">
        <v>0</v>
      </c>
      <c r="D33" s="514" t="n">
        <v>0</v>
      </c>
      <c r="E33" s="515" t="n">
        <v>0</v>
      </c>
      <c r="F33" s="515" t="n">
        <v>0</v>
      </c>
      <c r="G33" s="515" t="n">
        <v>0</v>
      </c>
      <c r="H33" s="515" t="n">
        <v>0</v>
      </c>
      <c r="I33" s="515" t="n">
        <v>0</v>
      </c>
      <c r="J33" s="515" t="n">
        <v>0</v>
      </c>
      <c r="K33" s="515" t="n">
        <v>0</v>
      </c>
      <c r="L33" s="515" t="n">
        <v>0</v>
      </c>
      <c r="M33" s="515" t="n">
        <v>0</v>
      </c>
      <c r="N33" s="515" t="n">
        <v>0</v>
      </c>
      <c r="O33" s="515" t="n">
        <v>0</v>
      </c>
    </row>
    <row r="34" ht="15" customHeight="1">
      <c r="B34" s="67" t="inlineStr">
        <is>
          <t>其他</t>
        </is>
      </c>
      <c r="C34" s="516" t="n">
        <v>0</v>
      </c>
      <c r="D34" s="516" t="n">
        <v>0</v>
      </c>
      <c r="E34" s="517" t="n">
        <v>0</v>
      </c>
      <c r="F34" s="517" t="n">
        <v>0</v>
      </c>
      <c r="G34" s="517" t="n">
        <v>0</v>
      </c>
      <c r="H34" s="517" t="n">
        <v>0</v>
      </c>
      <c r="I34" s="517" t="n">
        <v>0</v>
      </c>
      <c r="J34" s="517" t="n">
        <v>0</v>
      </c>
      <c r="K34" s="517" t="n">
        <v>0</v>
      </c>
      <c r="L34" s="517" t="n">
        <v>0</v>
      </c>
      <c r="M34" s="517" t="n">
        <v>0</v>
      </c>
      <c r="N34" s="517" t="n">
        <v>0</v>
      </c>
      <c r="O34" s="517" t="n">
        <v>0</v>
      </c>
    </row>
    <row r="35" ht="15" customFormat="1" customHeight="1" s="39">
      <c r="A35" s="46" t="n"/>
      <c r="B35" s="70" t="inlineStr">
        <is>
          <t>流动负债总额</t>
        </is>
      </c>
      <c r="C35" s="518">
        <f>SUBTOTAL(109,流动负债[上一年度])</f>
        <v/>
      </c>
      <c r="D35" s="518">
        <f>SUBTOTAL(109,流动负债[1月])</f>
        <v/>
      </c>
      <c r="E35" s="518">
        <f>SUBTOTAL(109,流动负债[2月])</f>
        <v/>
      </c>
      <c r="F35" s="518">
        <f>SUBTOTAL(109,流动负债[3月])</f>
        <v/>
      </c>
      <c r="G35" s="518">
        <f>SUBTOTAL(109,流动负债[4月])</f>
        <v/>
      </c>
      <c r="H35" s="518">
        <f>SUBTOTAL(109,流动负债[5月])</f>
        <v/>
      </c>
      <c r="I35" s="518">
        <f>SUBTOTAL(109,流动负债[6月])</f>
        <v/>
      </c>
      <c r="J35" s="518">
        <f>SUBTOTAL(109,流动负债[7月])</f>
        <v/>
      </c>
      <c r="K35" s="518">
        <f>SUBTOTAL(109,流动负债[8月])</f>
        <v/>
      </c>
      <c r="L35" s="518">
        <f>SUBTOTAL(109,流动负债[9月])</f>
        <v/>
      </c>
      <c r="M35" s="518">
        <f>SUBTOTAL(109,流动负债[10月])</f>
        <v/>
      </c>
      <c r="N35" s="518">
        <f>SUBTOTAL(109,流动负债[11月])</f>
        <v/>
      </c>
      <c r="O35" s="518">
        <f>SUBTOTAL(109,流动负债[12月])</f>
        <v/>
      </c>
    </row>
    <row r="36">
      <c r="J36" s="41" t="n"/>
    </row>
    <row r="37" ht="15" customFormat="1" customHeight="1" s="39">
      <c r="A37" s="46" t="inlineStr">
        <is>
          <t>从右侧单元格开始，在“长期负债”表格中输入详细信息。下一条说明位于单元格 A41 中。</t>
        </is>
      </c>
      <c r="B37" s="62" t="inlineStr">
        <is>
          <t>长期负债：</t>
        </is>
      </c>
      <c r="C37" s="63" t="inlineStr">
        <is>
          <t>上一年度</t>
        </is>
      </c>
      <c r="D37" s="63" t="inlineStr">
        <is>
          <t>1月</t>
        </is>
      </c>
      <c r="E37" s="63" t="inlineStr">
        <is>
          <t>2月</t>
        </is>
      </c>
      <c r="F37" s="63" t="inlineStr">
        <is>
          <t>3月</t>
        </is>
      </c>
      <c r="G37" s="63" t="inlineStr">
        <is>
          <t>4月</t>
        </is>
      </c>
      <c r="H37" s="63" t="inlineStr">
        <is>
          <t>5月</t>
        </is>
      </c>
      <c r="I37" s="63" t="inlineStr">
        <is>
          <t>6月</t>
        </is>
      </c>
      <c r="J37" s="63" t="inlineStr">
        <is>
          <t>7月</t>
        </is>
      </c>
      <c r="K37" s="63" t="inlineStr">
        <is>
          <t>8月</t>
        </is>
      </c>
      <c r="L37" s="63" t="inlineStr">
        <is>
          <t>9月</t>
        </is>
      </c>
      <c r="M37" s="63" t="inlineStr">
        <is>
          <t>10月</t>
        </is>
      </c>
      <c r="N37" s="63" t="inlineStr">
        <is>
          <t>11月</t>
        </is>
      </c>
      <c r="O37" s="63" t="inlineStr">
        <is>
          <t>12月</t>
        </is>
      </c>
    </row>
    <row r="38" ht="15" customHeight="1">
      <c r="B38" s="67" t="inlineStr">
        <is>
          <t>应付抵押款</t>
        </is>
      </c>
      <c r="C38" s="516" t="n">
        <v>0</v>
      </c>
      <c r="D38" s="516" t="n">
        <v>0</v>
      </c>
      <c r="E38" s="517" t="n">
        <v>0</v>
      </c>
      <c r="F38" s="517" t="n">
        <v>0</v>
      </c>
      <c r="G38" s="517" t="n">
        <v>0</v>
      </c>
      <c r="H38" s="517" t="n">
        <v>0</v>
      </c>
      <c r="I38" s="517" t="n">
        <v>0</v>
      </c>
      <c r="J38" s="517" t="n">
        <v>0</v>
      </c>
      <c r="K38" s="517" t="n">
        <v>0</v>
      </c>
      <c r="L38" s="517" t="n">
        <v>0</v>
      </c>
      <c r="M38" s="517" t="n">
        <v>0</v>
      </c>
      <c r="N38" s="517" t="n">
        <v>0</v>
      </c>
      <c r="O38" s="517" t="n">
        <v>0</v>
      </c>
    </row>
    <row r="39" ht="15" customFormat="1" customHeight="1" s="39">
      <c r="A39" s="46" t="n"/>
      <c r="B39" s="70" t="inlineStr">
        <is>
          <t>长期负债总额</t>
        </is>
      </c>
      <c r="C39" s="518">
        <f>SUBTOTAL(109,长期负债[上一年度])</f>
        <v/>
      </c>
      <c r="D39" s="518">
        <f>SUBTOTAL(109,长期负债[1月])</f>
        <v/>
      </c>
      <c r="E39" s="518">
        <f>SUBTOTAL(109,长期负债[2月])</f>
        <v/>
      </c>
      <c r="F39" s="518">
        <f>SUBTOTAL(109,长期负债[3月])</f>
        <v/>
      </c>
      <c r="G39" s="518">
        <f>SUBTOTAL(109,长期负债[4月])</f>
        <v/>
      </c>
      <c r="H39" s="518">
        <f>SUBTOTAL(109,长期负债[5月])</f>
        <v/>
      </c>
      <c r="I39" s="518">
        <f>SUBTOTAL(109,长期负债[6月])</f>
        <v/>
      </c>
      <c r="J39" s="518">
        <f>SUBTOTAL(109,长期负债[7月])</f>
        <v/>
      </c>
      <c r="K39" s="518">
        <f>SUBTOTAL(109,长期负债[8月])</f>
        <v/>
      </c>
      <c r="L39" s="518">
        <f>SUBTOTAL(109,长期负债[9月])</f>
        <v/>
      </c>
      <c r="M39" s="518">
        <f>SUBTOTAL(109,长期负债[10月])</f>
        <v/>
      </c>
      <c r="N39" s="518">
        <f>SUBTOTAL(109,长期负债[11月])</f>
        <v/>
      </c>
      <c r="O39" s="518">
        <f>SUBTOTAL(109,长期负债[12月])</f>
        <v/>
      </c>
    </row>
    <row r="40">
      <c r="J40" s="41" t="n"/>
    </row>
    <row r="41" ht="15" customFormat="1" customHeight="1" s="39">
      <c r="A41" s="46" t="inlineStr">
        <is>
          <t>从右侧单元格开始，在“所有者权益”表格中输入详细信息。下一条指示位于单元格 A46 中。</t>
        </is>
      </c>
      <c r="B41" s="62" t="inlineStr">
        <is>
          <t>所有者权益：</t>
        </is>
      </c>
      <c r="C41" s="63" t="inlineStr">
        <is>
          <t>上一年度</t>
        </is>
      </c>
      <c r="D41" s="63" t="inlineStr">
        <is>
          <t>1月</t>
        </is>
      </c>
      <c r="E41" s="63" t="inlineStr">
        <is>
          <t>2月</t>
        </is>
      </c>
      <c r="F41" s="63" t="inlineStr">
        <is>
          <t>3月</t>
        </is>
      </c>
      <c r="G41" s="63" t="inlineStr">
        <is>
          <t>4月</t>
        </is>
      </c>
      <c r="H41" s="63" t="inlineStr">
        <is>
          <t>5月</t>
        </is>
      </c>
      <c r="I41" s="63" t="inlineStr">
        <is>
          <t>6月</t>
        </is>
      </c>
      <c r="J41" s="63" t="inlineStr">
        <is>
          <t>7月</t>
        </is>
      </c>
      <c r="K41" s="63" t="inlineStr">
        <is>
          <t>8月</t>
        </is>
      </c>
      <c r="L41" s="63" t="inlineStr">
        <is>
          <t>9月</t>
        </is>
      </c>
      <c r="M41" s="63" t="inlineStr">
        <is>
          <t>10月</t>
        </is>
      </c>
      <c r="N41" s="63" t="inlineStr">
        <is>
          <t>11月</t>
        </is>
      </c>
      <c r="O41" s="63" t="inlineStr">
        <is>
          <t>12月</t>
        </is>
      </c>
    </row>
    <row r="42" ht="15" customHeight="1">
      <c r="B42" s="64" t="inlineStr">
        <is>
          <t>投资资本</t>
        </is>
      </c>
      <c r="C42" s="514" t="n">
        <v>0</v>
      </c>
      <c r="D42" s="514" t="n">
        <v>0</v>
      </c>
      <c r="E42" s="515" t="n">
        <v>0</v>
      </c>
      <c r="F42" s="515" t="n">
        <v>0</v>
      </c>
      <c r="G42" s="515" t="n">
        <v>0</v>
      </c>
      <c r="H42" s="515" t="n">
        <v>0</v>
      </c>
      <c r="I42" s="515" t="n">
        <v>0</v>
      </c>
      <c r="J42" s="515" t="n">
        <v>0</v>
      </c>
      <c r="K42" s="515" t="n">
        <v>0</v>
      </c>
      <c r="L42" s="515" t="n">
        <v>0</v>
      </c>
      <c r="M42" s="515" t="n">
        <v>0</v>
      </c>
      <c r="N42" s="515" t="n">
        <v>0</v>
      </c>
      <c r="O42" s="515" t="n">
        <v>0</v>
      </c>
    </row>
    <row r="43" ht="15" customHeight="1">
      <c r="B43" s="67" t="inlineStr">
        <is>
          <t>累计留存收益</t>
        </is>
      </c>
      <c r="C43" s="516" t="n">
        <v>0</v>
      </c>
      <c r="D43" s="516" t="n">
        <v>0</v>
      </c>
      <c r="E43" s="517" t="n">
        <v>0</v>
      </c>
      <c r="F43" s="517" t="n">
        <v>0</v>
      </c>
      <c r="G43" s="517" t="n">
        <v>0</v>
      </c>
      <c r="H43" s="517" t="n">
        <v>0</v>
      </c>
      <c r="I43" s="517" t="n">
        <v>0</v>
      </c>
      <c r="J43" s="517" t="n">
        <v>0</v>
      </c>
      <c r="K43" s="517" t="n">
        <v>0</v>
      </c>
      <c r="L43" s="517" t="n">
        <v>0</v>
      </c>
      <c r="M43" s="517" t="n">
        <v>0</v>
      </c>
      <c r="N43" s="517" t="n">
        <v>0</v>
      </c>
      <c r="O43" s="517" t="n">
        <v>0</v>
      </c>
    </row>
    <row r="44" ht="15" customFormat="1" customHeight="1" s="39">
      <c r="A44" s="46" t="n"/>
      <c r="B44" s="70" t="inlineStr">
        <is>
          <t>所有者权益总额</t>
        </is>
      </c>
      <c r="C44" s="518">
        <f>SUBTOTAL(109,所有者权益[上一年度])</f>
        <v/>
      </c>
      <c r="D44" s="518">
        <f>SUBTOTAL(109,所有者权益[1月])</f>
        <v/>
      </c>
      <c r="E44" s="518">
        <f>SUBTOTAL(109,所有者权益[2月])</f>
        <v/>
      </c>
      <c r="F44" s="518">
        <f>SUBTOTAL(109,所有者权益[3月])</f>
        <v/>
      </c>
      <c r="G44" s="518">
        <f>SUBTOTAL(109,所有者权益[4月])</f>
        <v/>
      </c>
      <c r="H44" s="518">
        <f>SUBTOTAL(109,所有者权益[5月])</f>
        <v/>
      </c>
      <c r="I44" s="518">
        <f>SUBTOTAL(109,所有者权益[6月])</f>
        <v/>
      </c>
      <c r="J44" s="518">
        <f>SUBTOTAL(109,所有者权益[7月])</f>
        <v/>
      </c>
      <c r="K44" s="518">
        <f>SUBTOTAL(109,所有者权益[8月])</f>
        <v/>
      </c>
      <c r="L44" s="518">
        <f>SUBTOTAL(109,所有者权益[9月])</f>
        <v/>
      </c>
      <c r="M44" s="518">
        <f>SUBTOTAL(109,所有者权益[10月])</f>
        <v/>
      </c>
      <c r="N44" s="518">
        <f>SUBTOTAL(109,所有者权益[11月])</f>
        <v/>
      </c>
      <c r="O44" s="518">
        <f>SUBTOTAL(109,所有者权益[12月])</f>
        <v/>
      </c>
    </row>
    <row r="45">
      <c r="J45" s="41" t="n"/>
    </row>
    <row r="46" ht="36" customHeight="1">
      <c r="A46" s="40" t="inlineStr">
        <is>
          <t>单元格 C46 中自动计算上一年度的负债和所有者权益总额，单元格 D46 中自动计算当前年度的负债和所有者权益总额。下一条指示位于单元格 A49 中。</t>
        </is>
      </c>
      <c r="B46" s="72" t="inlineStr">
        <is>
          <t>负债和所有者权益总额</t>
        </is>
      </c>
      <c r="C46" s="519">
        <f>所有者权益[[#Totals],[上一年度]]+长期负债[[#Totals],[上一年度]]+流动负债[[#Totals],[上一年度]]</f>
        <v/>
      </c>
      <c r="D46" s="519">
        <f>所有者权益[[#Totals],[1月]]+长期负债[[#Totals],[1月]]+流动负债[[#Totals],[1月]]</f>
        <v/>
      </c>
      <c r="E46" s="519">
        <f>所有者权益[[#Totals],[2月]]+长期负债[[#Totals],[2月]]+流动负债[[#Totals],[2月]]</f>
        <v/>
      </c>
      <c r="F46" s="519">
        <f>所有者权益[[#Totals],[3月]]+长期负债[[#Totals],[3月]]+流动负债[[#Totals],[3月]]</f>
        <v/>
      </c>
      <c r="G46" s="519">
        <f>所有者权益[[#Totals],[4月]]+长期负债[[#Totals],[4月]]+流动负债[[#Totals],[4月]]</f>
        <v/>
      </c>
      <c r="H46" s="519">
        <f>所有者权益[[#Totals],[5月]]+长期负债[[#Totals],[5月]]+流动负债[[#Totals],[5月]]</f>
        <v/>
      </c>
      <c r="I46" s="519">
        <f>所有者权益[[#Totals],[6月]]+长期负债[[#Totals],[6月]]+流动负债[[#Totals],[6月]]</f>
        <v/>
      </c>
      <c r="J46" s="519">
        <f>所有者权益[[#Totals],[7月]]+长期负债[[#Totals],[7月]]+流动负债[[#Totals],[7月]]</f>
        <v/>
      </c>
      <c r="K46" s="519">
        <f>所有者权益[[#Totals],[8月]]+长期负债[[#Totals],[8月]]+流动负债[[#Totals],[8月]]</f>
        <v/>
      </c>
      <c r="L46" s="519">
        <f>所有者权益[[#Totals],[9月]]+长期负债[[#Totals],[9月]]+流动负债[[#Totals],[9月]]</f>
        <v/>
      </c>
      <c r="M46" s="519">
        <f>所有者权益[[#Totals],[10月]]+长期负债[[#Totals],[10月]]+流动负债[[#Totals],[10月]]</f>
        <v/>
      </c>
      <c r="N46" s="519">
        <f>所有者权益[[#Totals],[11月]]+长期负债[[#Totals],[11月]]+流动负债[[#Totals],[11月]]</f>
        <v/>
      </c>
      <c r="O46" s="519">
        <f>所有者权益[[#Totals],[12月]]+长期负债[[#Totals],[12月]]+流动负债[[#Totals],[12月]]</f>
        <v/>
      </c>
    </row>
    <row r="47">
      <c r="D47" s="45" t="n"/>
      <c r="E47" s="45" t="n"/>
      <c r="F47" s="45" t="n"/>
      <c r="G47" s="45" t="n"/>
      <c r="H47" s="45" t="n"/>
      <c r="I47" s="45" t="n"/>
      <c r="J47" s="45" t="n"/>
      <c r="K47" s="45" t="n"/>
      <c r="L47" s="45" t="n"/>
      <c r="M47" s="45" t="n"/>
      <c r="N47" s="45" t="n"/>
      <c r="O47" s="45" t="n"/>
    </row>
    <row r="48">
      <c r="J48" s="41" t="n"/>
    </row>
    <row r="49" ht="17" customHeight="1">
      <c r="A49" s="40" t="inlineStr">
        <is>
          <t>单元格 C49 中自动计算上一年度的余额，单元格 D49 中自动计算当前年度的余额。</t>
        </is>
      </c>
      <c r="B49" s="74" t="inlineStr">
        <is>
          <t>余额</t>
        </is>
      </c>
      <c r="C49" s="520">
        <f>SUM(C25-C46)</f>
        <v/>
      </c>
      <c r="D49" s="520">
        <f>SUM(D25-D46)</f>
        <v/>
      </c>
      <c r="E49" s="520">
        <f>SUM(E25-E46)</f>
        <v/>
      </c>
      <c r="F49" s="520">
        <f>SUM(F25-F46)</f>
        <v/>
      </c>
      <c r="G49" s="520">
        <f>SUM(G25-G46)</f>
        <v/>
      </c>
      <c r="H49" s="520">
        <f>SUM(H25-H46)</f>
        <v/>
      </c>
      <c r="I49" s="520">
        <f>SUM(I25-I46)</f>
        <v/>
      </c>
      <c r="J49" s="520">
        <f>SUM(J25-J46)</f>
        <v/>
      </c>
      <c r="K49" s="520">
        <f>SUM(K25-K46)</f>
        <v/>
      </c>
      <c r="L49" s="520">
        <f>SUM(L25-L46)</f>
        <v/>
      </c>
      <c r="M49" s="520">
        <f>SUM(M25-M46)</f>
        <v/>
      </c>
      <c r="N49" s="520">
        <f>SUM(N25-N46)</f>
        <v/>
      </c>
      <c r="O49" s="520">
        <f>SUM(O25-O46)</f>
        <v/>
      </c>
    </row>
  </sheetData>
  <mergeCells count="13">
    <mergeCell ref="B1:C2"/>
    <mergeCell ref="L1:L2"/>
    <mergeCell ref="D1:D2"/>
    <mergeCell ref="G1:G2"/>
    <mergeCell ref="E1:E2"/>
    <mergeCell ref="K1:K2"/>
    <mergeCell ref="I1:I2"/>
    <mergeCell ref="F1:F2"/>
    <mergeCell ref="M1:M2"/>
    <mergeCell ref="J1:J2"/>
    <mergeCell ref="H1:H2"/>
    <mergeCell ref="O1:O2"/>
    <mergeCell ref="N1:N2"/>
  </mergeCells>
  <conditionalFormatting sqref="C49:O49">
    <cfRule type="cellIs" priority="1" operator="lessThan" dxfId="0">
      <formula>0</formula>
    </cfRule>
  </conditionalFormatting>
  <printOptions horizontalCentered="1" verticalCentered="1"/>
  <pageMargins left="0.5" right="0.5" top="0.5" bottom="0.5" header="0.5" footer="0.5"/>
  <pageSetup orientation="portrait" paperSize="9"/>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10.xml><?xml version="1.0" encoding="utf-8"?>
<worksheet xmlns="http://schemas.openxmlformats.org/spreadsheetml/2006/main">
  <sheetPr>
    <tabColor theme="9" tint="-0.499984740745262"/>
    <outlinePr summaryBelow="1" summaryRight="1"/>
    <pageSetUpPr/>
  </sheetPr>
  <dimension ref="A1:A1"/>
  <sheetViews>
    <sheetView showGridLines="0" showRowColHeaders="0" workbookViewId="0">
      <selection activeCell="A1" sqref="A1"/>
    </sheetView>
  </sheetViews>
  <sheetFormatPr baseColWidth="10" defaultColWidth="9" defaultRowHeight="14"/>
  <sheetData/>
  <pageMargins left="0.7" right="0.7" top="0.75" bottom="0.75" header="0.3" footer="0.3"/>
  <pageSetup orientation="landscape" paperSize="9" firstPageNumber="26214" useFirstPageNumber="1"/>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M30" sqref="M30"/>
    </sheetView>
  </sheetViews>
  <sheetFormatPr baseColWidth="10" defaultColWidth="9" defaultRowHeight="14"/>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N255"/>
  <sheetViews>
    <sheetView workbookViewId="0">
      <selection activeCell="A1" sqref="A1"/>
    </sheetView>
  </sheetViews>
  <sheetFormatPr baseColWidth="8" defaultRowHeight="15"/>
  <sheetData>
    <row r="1">
      <c r="A1" t="inlineStr">
        <is>
          <t>日期</t>
        </is>
      </c>
      <c r="B1" t="inlineStr">
        <is>
          <t>平台</t>
        </is>
      </c>
      <c r="C1" t="inlineStr">
        <is>
          <t>类型</t>
        </is>
      </c>
      <c r="D1" t="inlineStr">
        <is>
          <t>金额</t>
        </is>
      </c>
      <c r="E1" t="inlineStr">
        <is>
          <t>分类</t>
        </is>
      </c>
      <c r="F1" t="inlineStr">
        <is>
          <t>摘要</t>
        </is>
      </c>
      <c r="G1" t="inlineStr">
        <is>
          <t>来源文件</t>
        </is>
      </c>
      <c r="H1" t="inlineStr">
        <is>
          <t>置信度</t>
        </is>
      </c>
      <c r="I1" t="inlineStr">
        <is>
          <t>备注</t>
        </is>
      </c>
      <c r="J1" t="inlineStr">
        <is>
          <t>确认状态</t>
        </is>
      </c>
      <c r="K1" t="inlineStr">
        <is>
          <t>来源冲突</t>
        </is>
      </c>
      <c r="L1" t="inlineStr">
        <is>
          <t>记录ID</t>
        </is>
      </c>
      <c r="M1" t="inlineStr">
        <is>
          <t>处理批次</t>
        </is>
      </c>
      <c r="N1" t="inlineStr">
        <is>
          <t>原始文本</t>
        </is>
      </c>
    </row>
    <row r="2">
      <c r="A2" t="inlineStr">
        <is>
          <t>2026-04-23</t>
        </is>
      </c>
      <c r="B2" t="inlineStr">
        <is>
          <t>WeChat</t>
        </is>
      </c>
      <c r="C2" t="inlineStr">
        <is>
          <t>支出</t>
        </is>
      </c>
      <c r="D2" t="n">
        <v>700</v>
      </c>
      <c r="E2" t="inlineStr">
        <is>
          <t>外部服务</t>
        </is>
      </c>
      <c r="F2" t="inlineStr">
        <is>
          <t>成都东恒国际大厦汇泊停车月卡</t>
        </is>
      </c>
      <c r="G2" t="inlineStr">
        <is>
          <t>账单截图/IMG_7828.PNG</t>
        </is>
      </c>
      <c r="H2" t="inlineStr">
        <is>
          <t>高</t>
        </is>
      </c>
      <c r="I2" t="inlineStr">
        <is>
          <t>月卡停车费；已汇总入正式月度表</t>
        </is>
      </c>
      <c r="J2" t="inlineStr">
        <is>
          <t>已入账</t>
        </is>
      </c>
      <c r="L2" t="inlineStr">
        <is>
          <t>705c527aad57acd7</t>
        </is>
      </c>
      <c r="M2" t="inlineStr">
        <is>
          <t>2026-05-22-post-confirm</t>
        </is>
      </c>
      <c r="N2" t="inlineStr">
        <is>
          <t>皇龙成都分公司 成都东恒国际大厦汇泊停车月卡_web 实付款700</t>
        </is>
      </c>
    </row>
    <row r="3">
      <c r="A3" t="inlineStr">
        <is>
          <t>2026-04-29</t>
        </is>
      </c>
      <c r="B3" t="inlineStr">
        <is>
          <t>WeChat</t>
        </is>
      </c>
      <c r="C3" t="inlineStr">
        <is>
          <t>成本</t>
        </is>
      </c>
      <c r="D3" t="n">
        <v>44.6</v>
      </c>
      <c r="E3" t="inlineStr">
        <is>
          <t>购买费用</t>
        </is>
      </c>
      <c r="F3" t="inlineStr">
        <is>
          <t>工作室衣杆衣架</t>
        </is>
      </c>
      <c r="G3" t="inlineStr">
        <is>
          <t>账单截图/IMG_7827.PNG</t>
        </is>
      </c>
      <c r="H3" t="inlineStr">
        <is>
          <t>中</t>
        </is>
      </c>
      <c r="I3" t="inlineStr">
        <is>
          <t>工作室用品，是否计入成本待确认；已汇总入正式月度表</t>
        </is>
      </c>
      <c r="J3" t="inlineStr">
        <is>
          <t>已入账</t>
        </is>
      </c>
      <c r="L3" t="inlineStr">
        <is>
          <t>ab2a3e036ea6cd5a</t>
        </is>
      </c>
      <c r="M3" t="inlineStr">
        <is>
          <t>2026-05-22-post-confirm</t>
        </is>
      </c>
      <c r="N3" t="inlineStr">
        <is>
          <t>转账-转给爱吃DQ的仓鼠 工作室衣杆衣架 -44.60</t>
        </is>
      </c>
    </row>
    <row r="4">
      <c r="A4" t="inlineStr">
        <is>
          <t>2026-05-02</t>
        </is>
      </c>
      <c r="B4" t="inlineStr">
        <is>
          <t>WeChat</t>
        </is>
      </c>
      <c r="C4" t="inlineStr">
        <is>
          <t>成本</t>
        </is>
      </c>
      <c r="D4" t="n">
        <v>10000</v>
      </c>
      <c r="E4" t="inlineStr">
        <is>
          <t>购买费用</t>
        </is>
      </c>
      <c r="F4" t="inlineStr">
        <is>
          <t>收购工作室服装、道具</t>
        </is>
      </c>
      <c r="G4" t="inlineStr">
        <is>
          <t>账单截图/IMG_7826.PNG</t>
        </is>
      </c>
      <c r="H4" t="inlineStr">
        <is>
          <t>高</t>
        </is>
      </c>
      <c r="I4" t="inlineStr">
        <is>
          <t>已确认同正式流水：收购工作室服装、道具；已在收支财务报表入账</t>
        </is>
      </c>
      <c r="J4" t="inlineStr">
        <is>
          <t>已入账</t>
        </is>
      </c>
      <c r="L4" t="inlineStr">
        <is>
          <t>cd1c8692dd960c1f</t>
        </is>
      </c>
      <c r="M4" t="inlineStr">
        <is>
          <t>20260522-010436-218391</t>
        </is>
      </c>
      <c r="N4" t="inlineStr">
        <is>
          <t>转账-转给爱吃DQ的仓鼠 微信转账 -10000；已确认为收购工作室服装、道具</t>
        </is>
      </c>
    </row>
    <row r="5">
      <c r="A5" t="inlineStr">
        <is>
          <t>2026-04-18</t>
        </is>
      </c>
      <c r="B5" t="inlineStr">
        <is>
          <t>Taobao</t>
        </is>
      </c>
      <c r="C5" t="inlineStr">
        <is>
          <t>成本</t>
        </is>
      </c>
      <c r="D5" t="n">
        <v>576</v>
      </c>
      <c r="E5" t="inlineStr">
        <is>
          <t>购买费用</t>
        </is>
      </c>
      <c r="F5" t="inlineStr">
        <is>
          <t>华姿仪赏汉服老店 服饰订单</t>
        </is>
      </c>
      <c r="G5" t="inlineStr">
        <is>
          <t>账单截图/IMG_7833.PNG</t>
        </is>
      </c>
      <c r="H5" t="inlineStr">
        <is>
          <t>中</t>
        </is>
      </c>
      <c r="I5" t="inlineStr">
        <is>
          <t>服饰用途待确认，若为拍摄或工作服可保留为成本；已汇总入正式月度表</t>
        </is>
      </c>
      <c r="J5" t="inlineStr">
        <is>
          <t>已入账</t>
        </is>
      </c>
      <c r="L5" t="inlineStr">
        <is>
          <t>ae9e80fbe64fd8e1</t>
        </is>
      </c>
      <c r="M5" t="inlineStr">
        <is>
          <t>2026-05-22-post-confirm</t>
        </is>
      </c>
      <c r="N5" t="inlineStr">
        <is>
          <t>华姿仪赏贵妃云裳唐风诃子裙亮片刺绣大袖衫汉服襦裙套装 合计576</t>
        </is>
      </c>
    </row>
    <row r="6">
      <c r="A6" t="inlineStr">
        <is>
          <t>2026-05-13</t>
        </is>
      </c>
      <c r="B6" t="inlineStr">
        <is>
          <t>Taobao</t>
        </is>
      </c>
      <c r="C6" t="inlineStr">
        <is>
          <t>成本</t>
        </is>
      </c>
      <c r="D6" t="n">
        <v>404</v>
      </c>
      <c r="E6" t="inlineStr">
        <is>
          <t>购买费用</t>
        </is>
      </c>
      <c r="F6" t="inlineStr">
        <is>
          <t>直播桌子主播用专用带货台式工作台</t>
        </is>
      </c>
      <c r="G6" t="inlineStr">
        <is>
          <t>账单截图/IMG_7831.PNG</t>
        </is>
      </c>
      <c r="H6" t="inlineStr">
        <is>
          <t>高</t>
        </is>
      </c>
      <c r="I6" t="inlineStr">
        <is>
          <t>直播桌/工作台采购；已汇总入正式月度表</t>
        </is>
      </c>
      <c r="J6" t="inlineStr">
        <is>
          <t>已入账</t>
        </is>
      </c>
      <c r="L6" t="inlineStr">
        <is>
          <t>4829f87152d5d028</t>
        </is>
      </c>
      <c r="M6" t="inlineStr">
        <is>
          <t>2026-05-22-post-confirm</t>
        </is>
      </c>
      <c r="N6" t="inlineStr">
        <is>
          <t>枝音佳家具旗舰店 直播桌子主播用专用带货台式工作台 实付款404</t>
        </is>
      </c>
    </row>
    <row r="7">
      <c r="A7" t="inlineStr">
        <is>
          <t>2026-05-16</t>
        </is>
      </c>
      <c r="B7" t="inlineStr">
        <is>
          <t>WeChat</t>
        </is>
      </c>
      <c r="C7" t="inlineStr">
        <is>
          <t>成本</t>
        </is>
      </c>
      <c r="D7" t="n">
        <v>577.83</v>
      </c>
      <c r="E7" t="inlineStr">
        <is>
          <t>购买费用</t>
        </is>
      </c>
      <c r="F7" t="inlineStr">
        <is>
          <t>工作室化妆品</t>
        </is>
      </c>
      <c r="G7" t="inlineStr">
        <is>
          <t>账单截图/IMG_7825.PNG</t>
        </is>
      </c>
      <c r="H7" t="inlineStr">
        <is>
          <t>高</t>
        </is>
      </c>
      <c r="I7" t="inlineStr">
        <is>
          <t>微信转账，备注已写明工作室化妆品；已汇总入正式月度表</t>
        </is>
      </c>
      <c r="J7" t="inlineStr">
        <is>
          <t>已入账</t>
        </is>
      </c>
      <c r="L7" t="inlineStr">
        <is>
          <t>9307486a4a38daa5</t>
        </is>
      </c>
      <c r="M7" t="inlineStr">
        <is>
          <t>2026-05-22-post-confirm</t>
        </is>
      </c>
      <c r="N7" t="inlineStr">
        <is>
          <t>转账-转给爱吃DQ的仓鼠 工作室化妆品 -577.83</t>
        </is>
      </c>
    </row>
    <row r="8">
      <c r="A8" t="inlineStr">
        <is>
          <t>2026-05-16</t>
        </is>
      </c>
      <c r="B8" t="inlineStr">
        <is>
          <t>Taobao</t>
        </is>
      </c>
      <c r="C8" t="inlineStr">
        <is>
          <t>成本</t>
        </is>
      </c>
      <c r="D8" t="n">
        <v>825</v>
      </c>
      <c r="E8" t="inlineStr">
        <is>
          <t>购买费用</t>
        </is>
      </c>
      <c r="F8" t="inlineStr">
        <is>
          <t>化妆镜直播专用镜子 3件</t>
        </is>
      </c>
      <c r="G8" t="inlineStr">
        <is>
          <t>账单截图/IMG_7829.PNG</t>
        </is>
      </c>
      <c r="H8" t="inlineStr">
        <is>
          <t>高</t>
        </is>
      </c>
      <c r="I8" t="inlineStr">
        <is>
          <t>镜子/梳妆台采购；已汇总入正式月度表</t>
        </is>
      </c>
      <c r="J8" t="inlineStr">
        <is>
          <t>已入账</t>
        </is>
      </c>
      <c r="L8" t="inlineStr">
        <is>
          <t>40bfa81651a6b0f7</t>
        </is>
      </c>
      <c r="M8" t="inlineStr">
        <is>
          <t>2026-05-22-post-confirm</t>
        </is>
      </c>
      <c r="N8" t="inlineStr">
        <is>
          <t>化妆镜直播专用镜子台式大号高清桌面方形卧室梳妆台镜镜子美妆镜 实付款825</t>
        </is>
      </c>
    </row>
    <row r="9">
      <c r="A9" t="inlineStr">
        <is>
          <t>2026-05-17</t>
        </is>
      </c>
      <c r="B9" t="inlineStr">
        <is>
          <t>WeChat</t>
        </is>
      </c>
      <c r="C9" t="inlineStr">
        <is>
          <t>成本</t>
        </is>
      </c>
      <c r="D9" t="n">
        <v>860</v>
      </c>
      <c r="E9" t="inlineStr">
        <is>
          <t>购买费用</t>
        </is>
      </c>
      <c r="F9" t="inlineStr">
        <is>
          <t>神牛 LR500 化妆室灯棒</t>
        </is>
      </c>
      <c r="G9" t="inlineStr">
        <is>
          <t>账单截图/IMG_7823.PNG</t>
        </is>
      </c>
      <c r="H9" t="inlineStr">
        <is>
          <t>高</t>
        </is>
      </c>
      <c r="I9" t="inlineStr">
        <is>
          <t>已确认：购买化妆室灯棒 Godox LR500；已在收支财务报表第13行入账</t>
        </is>
      </c>
      <c r="J9" t="inlineStr">
        <is>
          <t>已入账</t>
        </is>
      </c>
      <c r="L9" t="inlineStr">
        <is>
          <t>7f9d8dccf36ab2be</t>
        </is>
      </c>
      <c r="M9" t="inlineStr">
        <is>
          <t>20260522-010436-218391</t>
        </is>
      </c>
      <c r="N9" t="inlineStr">
        <is>
          <t>转账-转给Millenaire Lsp 微信转账 -860；已确认为购买化妆室灯棒 Godox LR500</t>
        </is>
      </c>
    </row>
    <row r="10">
      <c r="A10" t="inlineStr">
        <is>
          <t>2026-05-17</t>
        </is>
      </c>
      <c r="B10" t="inlineStr">
        <is>
          <t>Alipay</t>
        </is>
      </c>
      <c r="C10" t="inlineStr">
        <is>
          <t>支出</t>
        </is>
      </c>
      <c r="D10" t="n">
        <v>366</v>
      </c>
      <c r="E10" t="inlineStr">
        <is>
          <t>补给（办公室和运营）</t>
        </is>
      </c>
      <c r="F10" t="inlineStr">
        <is>
          <t>滴滴加油 延长壳牌加油站（青羊苏坡）</t>
        </is>
      </c>
      <c r="G10" t="inlineStr">
        <is>
          <t>账单截图/IMG_7830.PNG</t>
        </is>
      </c>
      <c r="H10" t="inlineStr">
        <is>
          <t>中</t>
        </is>
      </c>
      <c r="I10" t="inlineStr">
        <is>
          <t>车辆加油，是否全部计入工作室运营待确认；已汇总入正式月度表</t>
        </is>
      </c>
      <c r="J10" t="inlineStr">
        <is>
          <t>已入账</t>
        </is>
      </c>
      <c r="L10" t="inlineStr">
        <is>
          <t>5bae6d6ab2755290</t>
        </is>
      </c>
      <c r="M10" t="inlineStr">
        <is>
          <t>2026-05-22-post-confirm</t>
        </is>
      </c>
      <c r="N10" t="inlineStr">
        <is>
          <t>滴滴加油 延长壳牌加油站（青羊苏坡） 交易成功 -366</t>
        </is>
      </c>
    </row>
    <row r="11">
      <c r="A11" t="inlineStr">
        <is>
          <t>2026-05-17</t>
        </is>
      </c>
      <c r="B11" t="inlineStr">
        <is>
          <t>Taobao</t>
        </is>
      </c>
      <c r="C11" t="inlineStr">
        <is>
          <t>成本</t>
        </is>
      </c>
      <c r="D11" t="n">
        <v>592.9</v>
      </c>
      <c r="E11" t="inlineStr">
        <is>
          <t>购买费用</t>
        </is>
      </c>
      <c r="F11" t="inlineStr">
        <is>
          <t>惜物国风 汉服配饰与内搭订单</t>
        </is>
      </c>
      <c r="G11" t="inlineStr">
        <is>
          <t>账单截图/IMG_7835.PNG</t>
        </is>
      </c>
      <c r="H11" t="inlineStr">
        <is>
          <t>中</t>
        </is>
      </c>
      <c r="I11" t="inlineStr">
        <is>
          <t>服装/配饰用途待确认，若用于拍摄或服务可计入成本；已汇总入正式月度表</t>
        </is>
      </c>
      <c r="J11" t="inlineStr">
        <is>
          <t>已入账</t>
        </is>
      </c>
      <c r="L11" t="inlineStr">
        <is>
          <t>85e971171ed8e8f1</t>
        </is>
      </c>
      <c r="M11" t="inlineStr">
        <is>
          <t>2026-05-22-post-confirm</t>
        </is>
      </c>
      <c r="N11" t="inlineStr">
        <is>
          <t>惜物国风 汉服配饰配件、内搭里衣、抱腰等 合计592.9</t>
        </is>
      </c>
    </row>
    <row r="12">
      <c r="A12" t="inlineStr">
        <is>
          <t>2026-05-18</t>
        </is>
      </c>
      <c r="B12" t="inlineStr">
        <is>
          <t>WeChat</t>
        </is>
      </c>
      <c r="C12" t="inlineStr">
        <is>
          <t>成本</t>
        </is>
      </c>
      <c r="D12" t="n">
        <v>696</v>
      </c>
      <c r="E12" t="inlineStr">
        <is>
          <t>购买费用</t>
        </is>
      </c>
      <c r="F12" t="inlineStr">
        <is>
          <t>工作室化妆品</t>
        </is>
      </c>
      <c r="G12" t="inlineStr">
        <is>
          <t>账单截图/IMG_7824.PNG</t>
        </is>
      </c>
      <c r="H12" t="inlineStr">
        <is>
          <t>高</t>
        </is>
      </c>
      <c r="I12" t="inlineStr">
        <is>
          <t>聊天截图注明工作室化妆品；已在收支财务报表第14行入账</t>
        </is>
      </c>
      <c r="J12" t="inlineStr">
        <is>
          <t>已入账</t>
        </is>
      </c>
      <c r="L12" t="inlineStr">
        <is>
          <t>7f55ee56fd468d8a</t>
        </is>
      </c>
      <c r="M12" t="inlineStr">
        <is>
          <t>20260522-010436-218391</t>
        </is>
      </c>
      <c r="N12" t="inlineStr">
        <is>
          <t>聊天截图显示 696 元转账，并注明“工作室化妆品”</t>
        </is>
      </c>
    </row>
    <row r="13">
      <c r="A13" t="inlineStr">
        <is>
          <t>2026-05-19</t>
        </is>
      </c>
      <c r="B13" t="inlineStr">
        <is>
          <t>WeChat</t>
        </is>
      </c>
      <c r="C13" t="inlineStr">
        <is>
          <t>支出</t>
        </is>
      </c>
      <c r="D13" t="n">
        <v>3</v>
      </c>
      <c r="E13" t="inlineStr">
        <is>
          <t>外部服务</t>
        </is>
      </c>
      <c r="F13" t="inlineStr">
        <is>
          <t>厚都为民-缴费</t>
        </is>
      </c>
      <c r="G13" t="inlineStr">
        <is>
          <t>账单截图/IMG_7822.PNG</t>
        </is>
      </c>
      <c r="H13" t="inlineStr">
        <is>
          <t>中</t>
        </is>
      </c>
      <c r="I13" t="inlineStr">
        <is>
          <t>小额缴费，疑似停车相关；已汇总入正式月度表</t>
        </is>
      </c>
      <c r="J13" t="inlineStr">
        <is>
          <t>已入账</t>
        </is>
      </c>
      <c r="L13" t="inlineStr">
        <is>
          <t>9d39b2e2d56ea509</t>
        </is>
      </c>
      <c r="M13" t="inlineStr">
        <is>
          <t>2026-05-22-post-confirm</t>
        </is>
      </c>
      <c r="N13" t="inlineStr">
        <is>
          <t>厚都 厚都为民-缴费 -3</t>
        </is>
      </c>
    </row>
    <row r="14">
      <c r="A14" t="inlineStr">
        <is>
          <t>2026-05-19</t>
        </is>
      </c>
      <c r="B14" t="inlineStr">
        <is>
          <t>微信</t>
        </is>
      </c>
      <c r="C14" t="inlineStr">
        <is>
          <t>收入</t>
        </is>
      </c>
      <c r="D14" t="n">
        <v>1</v>
      </c>
      <c r="E14" t="inlineStr">
        <is>
          <t>待分类</t>
        </is>
      </c>
      <c r="F14" t="inlineStr">
        <is>
          <t>光慧 (光慧) / 收款方备注:二维码收款 / 已转账</t>
        </is>
      </c>
      <c r="G14" t="inlineStr">
        <is>
          <t>账单导入/2026-07-05/extracted/微信/微信支付账单流水文件(20260405-20260705)——【解压密码可在微信支付公众号查看】.xlsx</t>
        </is>
      </c>
      <c r="H14" t="inlineStr">
        <is>
          <t>中</t>
        </is>
      </c>
      <c r="I14" t="inlineStr">
        <is>
          <t>个人/公司归属不明确，请确认</t>
        </is>
      </c>
      <c r="J14" t="inlineStr">
        <is>
          <t>待确认</t>
        </is>
      </c>
      <c r="K14" t="inlineStr"/>
      <c r="L14" t="inlineStr">
        <is>
          <t>b6a0384ae7254f7b</t>
        </is>
      </c>
      <c r="M14" t="inlineStr">
        <is>
          <t>20260705-174222-auto-bills</t>
        </is>
      </c>
      <c r="N14" t="inlineStr">
        <is>
          <t>2026-05-19 10:16:34 | 扫二维码付款 | 光慧 (光慧) | 收款方备注:二维码收款 | 支出 | 1 | 零钱 | 已转账 | 53110001689120202605192010832775 | 10001073012026051901333241969504 | /</t>
        </is>
      </c>
    </row>
    <row r="15">
      <c r="A15" t="inlineStr">
        <is>
          <t>2026-05-19</t>
        </is>
      </c>
      <c r="B15" t="inlineStr">
        <is>
          <t>微信</t>
        </is>
      </c>
      <c r="C15" t="inlineStr">
        <is>
          <t>支出</t>
        </is>
      </c>
      <c r="D15" t="n">
        <v>3</v>
      </c>
      <c r="E15" t="inlineStr">
        <is>
          <t>待分类</t>
        </is>
      </c>
      <c r="F15" t="inlineStr">
        <is>
          <t>厚都 / 厚都为民-缴费（川A6Z73C） / 支付成功</t>
        </is>
      </c>
      <c r="G15" t="inlineStr">
        <is>
          <t>账单导入/2026-07-05/extracted/微信/微信支付账单流水文件(20260405-20260705)——【解压密码可在微信支付公众号查看】.xlsx</t>
        </is>
      </c>
      <c r="H15" t="inlineStr">
        <is>
          <t>中</t>
        </is>
      </c>
      <c r="I15" t="inlineStr">
        <is>
          <t>个人/公司归属不明确，请确认</t>
        </is>
      </c>
      <c r="J15" t="inlineStr">
        <is>
          <t>待确认</t>
        </is>
      </c>
      <c r="K15" t="inlineStr"/>
      <c r="L15" t="inlineStr">
        <is>
          <t>2e87d9f14e58e98a</t>
        </is>
      </c>
      <c r="M15" t="inlineStr">
        <is>
          <t>20260705-174222-auto-bills</t>
        </is>
      </c>
      <c r="N15" t="inlineStr">
        <is>
          <t>2026-05-19 10:58:16 | 商户消费 | 厚都 | 厚都为民-缴费（川A6Z73C） | 支出 | 3 | 零钱 | 支付成功 | 4500000170202605199605627296 | 20260519105810274509474 | /</t>
        </is>
      </c>
    </row>
    <row r="16">
      <c r="A16" t="inlineStr">
        <is>
          <t>2026-05-19</t>
        </is>
      </c>
      <c r="B16" t="inlineStr">
        <is>
          <t>微信</t>
        </is>
      </c>
      <c r="C16" t="inlineStr">
        <is>
          <t>支出</t>
        </is>
      </c>
      <c r="D16" t="n">
        <v>4</v>
      </c>
      <c r="E16" t="inlineStr">
        <is>
          <t>待分类</t>
        </is>
      </c>
      <c r="F16" t="inlineStr">
        <is>
          <t>双流区华乙商贸部 / 双流区华乙商贸部 / 支付成功</t>
        </is>
      </c>
      <c r="G16" t="inlineStr">
        <is>
          <t>账单导入/2026-07-05/extracted/微信/微信支付账单流水文件(20260405-20260705)——【解压密码可在微信支付公众号查看】.xlsx</t>
        </is>
      </c>
      <c r="H16" t="inlineStr">
        <is>
          <t>中</t>
        </is>
      </c>
      <c r="I16" t="inlineStr">
        <is>
          <t>个人/公司归属不明确，请确认</t>
        </is>
      </c>
      <c r="J16" t="inlineStr">
        <is>
          <t>待确认</t>
        </is>
      </c>
      <c r="K16" t="inlineStr"/>
      <c r="L16" t="inlineStr">
        <is>
          <t>bc3ca7586b40eab0</t>
        </is>
      </c>
      <c r="M16" t="inlineStr">
        <is>
          <t>20260705-174222-auto-bills</t>
        </is>
      </c>
      <c r="N16" t="inlineStr">
        <is>
          <t>2026-05-19 09:32:23 | 商户消费 | 双流区华乙商贸部 | 双流区华乙商贸部 | 支出 | 4 | 零钱 | 支付成功 | 4200003043202605194100578254 | 1190811640051807690752 | /</t>
        </is>
      </c>
    </row>
    <row r="17">
      <c r="A17" t="inlineStr">
        <is>
          <t>2026-05-19</t>
        </is>
      </c>
      <c r="B17" t="inlineStr">
        <is>
          <t>微信</t>
        </is>
      </c>
      <c r="C17" t="inlineStr">
        <is>
          <t>收入</t>
        </is>
      </c>
      <c r="D17" t="n">
        <v>6</v>
      </c>
      <c r="E17" t="inlineStr">
        <is>
          <t>待分类</t>
        </is>
      </c>
      <c r="F17" t="inlineStr">
        <is>
          <t>清泉 (清泉) / 收款方备注:二维码收款 / 已转账</t>
        </is>
      </c>
      <c r="G17" t="inlineStr">
        <is>
          <t>账单导入/2026-07-05/extracted/微信/微信支付账单流水文件(20260405-20260705)——【解压密码可在微信支付公众号查看】.xlsx</t>
        </is>
      </c>
      <c r="H17" t="inlineStr">
        <is>
          <t>中</t>
        </is>
      </c>
      <c r="I17" t="inlineStr">
        <is>
          <t>个人/公司归属不明确，请确认</t>
        </is>
      </c>
      <c r="J17" t="inlineStr">
        <is>
          <t>待确认</t>
        </is>
      </c>
      <c r="K17" t="inlineStr"/>
      <c r="L17" t="inlineStr">
        <is>
          <t>c910d692dd91e93d</t>
        </is>
      </c>
      <c r="M17" t="inlineStr">
        <is>
          <t>20260705-174222-auto-bills</t>
        </is>
      </c>
      <c r="N17" t="inlineStr">
        <is>
          <t>2026-05-19 10:14:12 | 扫二维码付款 | 清泉 (清泉) | 收款方备注:二维码收款 | 支出 | 6 | 零钱 | 已转账 | 53110001684179202605190782522493 | 10001073012026051901529314950548 | /</t>
        </is>
      </c>
    </row>
    <row r="18">
      <c r="A18" t="inlineStr">
        <is>
          <t>2026-05-19</t>
        </is>
      </c>
      <c r="B18" t="inlineStr">
        <is>
          <t>微信</t>
        </is>
      </c>
      <c r="C18" t="inlineStr">
        <is>
          <t>收入</t>
        </is>
      </c>
      <c r="D18" t="n">
        <v>10</v>
      </c>
      <c r="E18" t="inlineStr">
        <is>
          <t>待分类</t>
        </is>
      </c>
      <c r="F18" t="inlineStr">
        <is>
          <t>云 (云) / 收款方备注:二维码收款 / 已转账</t>
        </is>
      </c>
      <c r="G18" t="inlineStr">
        <is>
          <t>账单导入/2026-07-05/extracted/微信/微信支付账单流水文件(20260405-20260705)——【解压密码可在微信支付公众号查看】.xlsx</t>
        </is>
      </c>
      <c r="H18" t="inlineStr">
        <is>
          <t>中</t>
        </is>
      </c>
      <c r="I18" t="inlineStr">
        <is>
          <t>个人/公司归属不明确，请确认</t>
        </is>
      </c>
      <c r="J18" t="inlineStr">
        <is>
          <t>待确认</t>
        </is>
      </c>
      <c r="K18" t="inlineStr"/>
      <c r="L18" t="inlineStr">
        <is>
          <t>a541640aa80fdfdd</t>
        </is>
      </c>
      <c r="M18" t="inlineStr">
        <is>
          <t>20260705-174222-auto-bills</t>
        </is>
      </c>
      <c r="N18" t="inlineStr">
        <is>
          <t>2026-05-19 09:47:49 | 扫二维码付款 | 云 (云) | 收款方备注:二维码收款 | 支出 | 10 | 零钱 | 已转账 | 53110001646099202605191575344409 | 10001073012026051901933137765568 | /</t>
        </is>
      </c>
    </row>
    <row r="19">
      <c r="A19" t="inlineStr">
        <is>
          <t>2026-05-19</t>
        </is>
      </c>
      <c r="B19" t="inlineStr">
        <is>
          <t>微信</t>
        </is>
      </c>
      <c r="C19" t="inlineStr">
        <is>
          <t>收入</t>
        </is>
      </c>
      <c r="D19" t="n">
        <v>11</v>
      </c>
      <c r="E19" t="inlineStr">
        <is>
          <t>待分类</t>
        </is>
      </c>
      <c r="F19" t="inlineStr">
        <is>
          <t>欣欣便民超市丨双流店 / 收款方备注:二维码收款 / 已转账</t>
        </is>
      </c>
      <c r="G19" t="inlineStr">
        <is>
          <t>账单导入/2026-07-05/extracted/微信/微信支付账单流水文件(20260405-20260705)——【解压密码可在微信支付公众号查看】.xlsx</t>
        </is>
      </c>
      <c r="H19" t="inlineStr">
        <is>
          <t>中</t>
        </is>
      </c>
      <c r="I19" t="inlineStr">
        <is>
          <t>疑似个人交易，请确认是否排除</t>
        </is>
      </c>
      <c r="J19" t="inlineStr">
        <is>
          <t>待确认</t>
        </is>
      </c>
      <c r="K19" t="inlineStr"/>
      <c r="L19" t="inlineStr">
        <is>
          <t>3b65fc807f2106c0</t>
        </is>
      </c>
      <c r="M19" t="inlineStr">
        <is>
          <t>20260705-174222-auto-bills</t>
        </is>
      </c>
      <c r="N19" t="inlineStr">
        <is>
          <t>2026-05-19 07:44:16 | 扫二维码付款 | 欣欣便民超市丨双流店 | 收款方备注:二维码收款 | 支出 | 11 | 零钱 | 已转账 | 53110001689213202605191603162209 | 10001073012026051901548699020522 | /</t>
        </is>
      </c>
    </row>
    <row r="20">
      <c r="A20" t="inlineStr">
        <is>
          <t>2026-05-19</t>
        </is>
      </c>
      <c r="B20" t="inlineStr">
        <is>
          <t>微信</t>
        </is>
      </c>
      <c r="C20" t="inlineStr">
        <is>
          <t>收入</t>
        </is>
      </c>
      <c r="D20" t="n">
        <v>15</v>
      </c>
      <c r="E20" t="inlineStr">
        <is>
          <t>待分类</t>
        </is>
      </c>
      <c r="F20" t="inlineStr">
        <is>
          <t>好到家 / 收款方备注:二维码收款 / 已转账</t>
        </is>
      </c>
      <c r="G20" t="inlineStr">
        <is>
          <t>账单导入/2026-07-05/extracted/微信/微信支付账单流水文件(20260405-20260705)——【解压密码可在微信支付公众号查看】.xlsx</t>
        </is>
      </c>
      <c r="H20" t="inlineStr">
        <is>
          <t>中</t>
        </is>
      </c>
      <c r="I20" t="inlineStr">
        <is>
          <t>个人/公司归属不明确，请确认</t>
        </is>
      </c>
      <c r="J20" t="inlineStr">
        <is>
          <t>待确认</t>
        </is>
      </c>
      <c r="K20" t="inlineStr"/>
      <c r="L20" t="inlineStr">
        <is>
          <t>2598043db61fae00</t>
        </is>
      </c>
      <c r="M20" t="inlineStr">
        <is>
          <t>20260705-174222-auto-bills</t>
        </is>
      </c>
      <c r="N20" t="inlineStr">
        <is>
          <t>2026-05-19 09:43:20 | 扫二维码付款 | 好到家 | 收款方备注:二维码收款 | 支出 | 15 | 零钱 | 已转账 | 53110001678129202605193666497370 | 10001073012026051901674013494631 | /</t>
        </is>
      </c>
    </row>
    <row r="21">
      <c r="A21" t="inlineStr">
        <is>
          <t>2026-05-19</t>
        </is>
      </c>
      <c r="B21" t="inlineStr">
        <is>
          <t>微信</t>
        </is>
      </c>
      <c r="C21" t="inlineStr">
        <is>
          <t>收入</t>
        </is>
      </c>
      <c r="D21" t="n">
        <v>48</v>
      </c>
      <c r="E21" t="inlineStr">
        <is>
          <t>待分类</t>
        </is>
      </c>
      <c r="F21" t="inlineStr">
        <is>
          <t>邬氏专卖 / 收款方备注:二维码收款 / 已转账</t>
        </is>
      </c>
      <c r="G21" t="inlineStr">
        <is>
          <t>账单导入/2026-07-05/extracted/微信/微信支付账单流水文件(20260405-20260705)——【解压密码可在微信支付公众号查看】.xlsx</t>
        </is>
      </c>
      <c r="H21" t="inlineStr">
        <is>
          <t>中</t>
        </is>
      </c>
      <c r="I21" t="inlineStr">
        <is>
          <t>个人/公司归属不明确，请确认</t>
        </is>
      </c>
      <c r="J21" t="inlineStr">
        <is>
          <t>待确认</t>
        </is>
      </c>
      <c r="K21" t="inlineStr"/>
      <c r="L21" t="inlineStr">
        <is>
          <t>d48821f222de1cdc</t>
        </is>
      </c>
      <c r="M21" t="inlineStr">
        <is>
          <t>20260705-174222-auto-bills</t>
        </is>
      </c>
      <c r="N21" t="inlineStr">
        <is>
          <t>2026-05-19 09:40:18 | 扫二维码付款 | 邬氏专卖 | 收款方备注:二维码收款 | 支出 | 48 | 零钱 | 已转账 | 53110001547173202605193424554169 | 10001073012026051901319773405509 | /</t>
        </is>
      </c>
    </row>
    <row r="22">
      <c r="A22" t="inlineStr">
        <is>
          <t>2026-05-19</t>
        </is>
      </c>
      <c r="B22" t="inlineStr">
        <is>
          <t>微信</t>
        </is>
      </c>
      <c r="C22" t="inlineStr">
        <is>
          <t>收入</t>
        </is>
      </c>
      <c r="D22" t="n">
        <v>103</v>
      </c>
      <c r="E22" t="inlineStr">
        <is>
          <t>待分类</t>
        </is>
      </c>
      <c r="F22" t="inlineStr">
        <is>
          <t>花 (花) / 收款方备注:二维码收款 / 已转账</t>
        </is>
      </c>
      <c r="G22" t="inlineStr">
        <is>
          <t>账单导入/2026-07-05/extracted/微信/微信支付账单流水文件(20260405-20260705)——【解压密码可在微信支付公众号查看】.xlsx</t>
        </is>
      </c>
      <c r="H22" t="inlineStr">
        <is>
          <t>中</t>
        </is>
      </c>
      <c r="I22" t="inlineStr">
        <is>
          <t>个人/公司归属不明确，请确认</t>
        </is>
      </c>
      <c r="J22" t="inlineStr">
        <is>
          <t>待确认</t>
        </is>
      </c>
      <c r="K22" t="inlineStr"/>
      <c r="L22" t="inlineStr">
        <is>
          <t>41768add41b87598</t>
        </is>
      </c>
      <c r="M22" t="inlineStr">
        <is>
          <t>20260705-174222-auto-bills</t>
        </is>
      </c>
      <c r="N22" t="inlineStr">
        <is>
          <t>2026-05-19 09:45:46 | 扫二维码付款 | 花 (花) | 收款方备注:二维码收款 | 支出 | 103 | 零钱 | 已转账 | 53110001642133202605190074450610 | 10001073012026051901101748414561 | /</t>
        </is>
      </c>
    </row>
    <row r="23">
      <c r="A23" t="inlineStr">
        <is>
          <t>2026-05-19</t>
        </is>
      </c>
      <c r="B23" t="inlineStr">
        <is>
          <t>微信</t>
        </is>
      </c>
      <c r="C23" t="inlineStr">
        <is>
          <t>支出</t>
        </is>
      </c>
      <c r="D23" t="n">
        <v>270</v>
      </c>
      <c r="E23" t="inlineStr">
        <is>
          <t>待分类</t>
        </is>
      </c>
      <c r="F23" t="inlineStr">
        <is>
          <t>爸爸 (吴六松) / 转账备注:微信转账 / 对方已收钱</t>
        </is>
      </c>
      <c r="G23" t="inlineStr">
        <is>
          <t>账单导入/2026-07-05/extracted/微信/微信支付账单流水文件(20260405-20260705)——【解压密码可在微信支付公众号查看】.xlsx</t>
        </is>
      </c>
      <c r="H23" t="inlineStr">
        <is>
          <t>中</t>
        </is>
      </c>
      <c r="I23" t="inlineStr">
        <is>
          <t>个人/公司归属不明确，请确认</t>
        </is>
      </c>
      <c r="J23" t="inlineStr">
        <is>
          <t>待确认</t>
        </is>
      </c>
      <c r="K23" t="inlineStr"/>
      <c r="L23" t="inlineStr">
        <is>
          <t>c6570aa77fe2a61d</t>
        </is>
      </c>
      <c r="M23" t="inlineStr">
        <is>
          <t>20260705-174222-auto-bills</t>
        </is>
      </c>
      <c r="N23" t="inlineStr">
        <is>
          <t>2026-05-19 20:34:20 | 转账 | 爸爸 (吴六松) | 转账备注:微信转账 | 支出 | 270 | 零钱 | 对方已收钱 | 53010002852117202605192499753648 | 1000050001202605190237805954238 | /</t>
        </is>
      </c>
    </row>
    <row r="24">
      <c r="A24" t="inlineStr">
        <is>
          <t>2026-05-19</t>
        </is>
      </c>
      <c r="B24" t="inlineStr">
        <is>
          <t>招商银行</t>
        </is>
      </c>
      <c r="C24" t="inlineStr">
        <is>
          <t>待判断</t>
        </is>
      </c>
      <c r="D24" t="n">
        <v>1000</v>
      </c>
      <c r="E24" t="inlineStr">
        <is>
          <t>待分类</t>
        </is>
      </c>
      <c r="F24" t="inlineStr">
        <is>
          <t>CNY   本行CRS存款</t>
        </is>
      </c>
      <c r="G24" t="inlineStr">
        <is>
          <t>账单导入/2026-07-05/extracted/招商银行/招商银行交易流水(申请时间2026年07月05日15时41分46秒).pdf</t>
        </is>
      </c>
      <c r="H24" t="inlineStr">
        <is>
          <t>低</t>
        </is>
      </c>
      <c r="I24" t="inlineStr">
        <is>
          <t>个人/公司归属不明确，请确认</t>
        </is>
      </c>
      <c r="J24" t="inlineStr">
        <is>
          <t>待确认</t>
        </is>
      </c>
      <c r="K24" t="inlineStr"/>
      <c r="L24" t="inlineStr">
        <is>
          <t>21b81ea468413db9</t>
        </is>
      </c>
      <c r="M24" t="inlineStr">
        <is>
          <t>20260705-174222-auto-bills</t>
        </is>
      </c>
      <c r="N24" t="inlineStr">
        <is>
          <t>2026-05-19 CNY 1,000.00 105,336.77 本行CRS存款</t>
        </is>
      </c>
    </row>
    <row r="25">
      <c r="A25" t="inlineStr">
        <is>
          <t>2026-05-19</t>
        </is>
      </c>
      <c r="B25" t="inlineStr">
        <is>
          <t>招商银行</t>
        </is>
      </c>
      <c r="C25" t="inlineStr">
        <is>
          <t>待判断</t>
        </is>
      </c>
      <c r="D25" t="n">
        <v>10000</v>
      </c>
      <c r="E25" t="inlineStr">
        <is>
          <t>待分类</t>
        </is>
      </c>
      <c r="F25" t="inlineStr">
        <is>
          <t>CNY   本行CRS存款</t>
        </is>
      </c>
      <c r="G25" t="inlineStr">
        <is>
          <t>账单导入/2026-07-05/extracted/招商银行/招商银行交易流水(申请时间2026年07月05日15时41分46秒).pdf</t>
        </is>
      </c>
      <c r="H25" t="inlineStr">
        <is>
          <t>低</t>
        </is>
      </c>
      <c r="I25" t="inlineStr">
        <is>
          <t>个人/公司归属不明确，请确认</t>
        </is>
      </c>
      <c r="J25" t="inlineStr">
        <is>
          <t>待确认</t>
        </is>
      </c>
      <c r="K25" t="inlineStr"/>
      <c r="L25" t="inlineStr">
        <is>
          <t>013531bfafb8d335</t>
        </is>
      </c>
      <c r="M25" t="inlineStr">
        <is>
          <t>20260705-174222-auto-bills</t>
        </is>
      </c>
      <c r="N25" t="inlineStr">
        <is>
          <t>2026-05-19 CNY 10,000.00 104,336.77 本行CRS存款</t>
        </is>
      </c>
    </row>
    <row r="26">
      <c r="A26" t="inlineStr">
        <is>
          <t>2026-05-19</t>
        </is>
      </c>
      <c r="B26" t="inlineStr">
        <is>
          <t>招商银行</t>
        </is>
      </c>
      <c r="C26" t="inlineStr">
        <is>
          <t>待判断</t>
        </is>
      </c>
      <c r="D26" t="n">
        <v>30000</v>
      </c>
      <c r="E26" t="inlineStr">
        <is>
          <t>待分类</t>
        </is>
      </c>
      <c r="F26" t="inlineStr">
        <is>
          <t>CNY   银证转账(第三方存管) 吴文凯</t>
        </is>
      </c>
      <c r="G26" t="inlineStr">
        <is>
          <t>账单导入/2026-07-05/extracted/招商银行/招商银行交易流水(申请时间2026年07月05日15时41分46秒).pdf</t>
        </is>
      </c>
      <c r="H26" t="inlineStr">
        <is>
          <t>低</t>
        </is>
      </c>
      <c r="I26" t="inlineStr">
        <is>
          <t>个人/公司归属不明确，请确认</t>
        </is>
      </c>
      <c r="J26" t="inlineStr">
        <is>
          <t>待确认</t>
        </is>
      </c>
      <c r="K26" t="inlineStr"/>
      <c r="L26" t="inlineStr">
        <is>
          <t>b5bdb91fce9bc982</t>
        </is>
      </c>
      <c r="M26" t="inlineStr">
        <is>
          <t>20260705-174222-auto-bills</t>
        </is>
      </c>
      <c r="N26" t="inlineStr">
        <is>
          <t>2026-05-19 CNY 30,000.00 44,436.77 银证转账(第三方存管) 吴文凯</t>
        </is>
      </c>
    </row>
    <row r="27">
      <c r="A27" t="inlineStr">
        <is>
          <t>2026-05-19</t>
        </is>
      </c>
      <c r="B27" t="inlineStr">
        <is>
          <t>招商银行</t>
        </is>
      </c>
      <c r="C27" t="inlineStr">
        <is>
          <t>待判断</t>
        </is>
      </c>
      <c r="D27" t="n">
        <v>49900</v>
      </c>
      <c r="E27" t="inlineStr">
        <is>
          <t>待分类</t>
        </is>
      </c>
      <c r="F27" t="inlineStr">
        <is>
          <t>CNY   柜台存现</t>
        </is>
      </c>
      <c r="G27" t="inlineStr">
        <is>
          <t>账单导入/2026-07-05/extracted/招商银行/招商银行交易流水(申请时间2026年07月05日15时41分46秒).pdf</t>
        </is>
      </c>
      <c r="H27" t="inlineStr">
        <is>
          <t>低</t>
        </is>
      </c>
      <c r="I27" t="inlineStr">
        <is>
          <t>个人/公司归属不明确，请确认</t>
        </is>
      </c>
      <c r="J27" t="inlineStr">
        <is>
          <t>待确认</t>
        </is>
      </c>
      <c r="K27" t="inlineStr"/>
      <c r="L27" t="inlineStr">
        <is>
          <t>5bc3fda09856c098</t>
        </is>
      </c>
      <c r="M27" t="inlineStr">
        <is>
          <t>20260705-174222-auto-bills</t>
        </is>
      </c>
      <c r="N27" t="inlineStr">
        <is>
          <t>2026-05-19 CNY 49,900.00 94,336.77 柜台存现</t>
        </is>
      </c>
    </row>
    <row r="28">
      <c r="A28" t="inlineStr">
        <is>
          <t>2026-05-19</t>
        </is>
      </c>
      <c r="B28" t="inlineStr">
        <is>
          <t>招商银行</t>
        </is>
      </c>
      <c r="C28" t="inlineStr">
        <is>
          <t>支出</t>
        </is>
      </c>
      <c r="D28" t="n">
        <v>100261.81</v>
      </c>
      <c r="E28" t="inlineStr">
        <is>
          <t>待分类</t>
        </is>
      </c>
      <c r="F28" t="inlineStr">
        <is>
          <t>CNY -  个贷交易 招商银行股份有限公司</t>
        </is>
      </c>
      <c r="G28" t="inlineStr">
        <is>
          <t>账单导入/2026-07-05/extracted/招商银行/招商银行交易流水(申请时间2026年07月05日15时41分46秒).pdf</t>
        </is>
      </c>
      <c r="H28" t="inlineStr">
        <is>
          <t>中</t>
        </is>
      </c>
      <c r="I28" t="inlineStr">
        <is>
          <t>个人/公司归属不明确，请确认</t>
        </is>
      </c>
      <c r="J28" t="inlineStr">
        <is>
          <t>待确认</t>
        </is>
      </c>
      <c r="K28" t="inlineStr"/>
      <c r="L28" t="inlineStr">
        <is>
          <t>9514e2e735f85ae1</t>
        </is>
      </c>
      <c r="M28" t="inlineStr">
        <is>
          <t>20260705-174222-auto-bills</t>
        </is>
      </c>
      <c r="N28" t="inlineStr">
        <is>
          <t>2026-05-19 CNY -100,261.81 5,074.96 个贷交易 招商银行股份有限公司</t>
        </is>
      </c>
    </row>
    <row r="29">
      <c r="A29" t="inlineStr">
        <is>
          <t>2026-05-20</t>
        </is>
      </c>
      <c r="B29" t="inlineStr">
        <is>
          <t>微信</t>
        </is>
      </c>
      <c r="C29" t="inlineStr">
        <is>
          <t>退款</t>
        </is>
      </c>
      <c r="D29" t="n">
        <v>200</v>
      </c>
      <c r="E29" t="inlineStr">
        <is>
          <t>待分类</t>
        </is>
      </c>
      <c r="F29" t="inlineStr">
        <is>
          <t>成都瑞银投资发展有限公司明悦大酒店 / 好码齐-成都瑞银投资发展有限公司明悦大酒店(新) / 已全额退款</t>
        </is>
      </c>
      <c r="G29" t="inlineStr">
        <is>
          <t>账单导入/2026-07-05/extracted/微信/微信支付账单流水文件(20260405-20260705)——【解压密码可在微信支付公众号查看】.xlsx</t>
        </is>
      </c>
      <c r="H29" t="inlineStr">
        <is>
          <t>中</t>
        </is>
      </c>
      <c r="I29" t="inlineStr">
        <is>
          <t>个人/公司归属不明确，请确认</t>
        </is>
      </c>
      <c r="J29" t="inlineStr">
        <is>
          <t>待确认</t>
        </is>
      </c>
      <c r="K29" t="inlineStr"/>
      <c r="L29" t="inlineStr">
        <is>
          <t>7d0f58ce98eacdcf</t>
        </is>
      </c>
      <c r="M29" t="inlineStr">
        <is>
          <t>20260705-174222-auto-bills</t>
        </is>
      </c>
      <c r="N29" t="inlineStr">
        <is>
          <t>2026-05-20 17:39:21 | 商户消费 | 成都瑞银投资发展有限公司明悦大酒店 | 好码齐-成都瑞银投资发展有限公司明悦大酒店(新) | 支出 | 200 | 零钱 | 已全额退款 | 4500000192202605208952303873 | 20260520500000796533384787531801 | /</t>
        </is>
      </c>
    </row>
    <row r="30">
      <c r="A30" t="inlineStr">
        <is>
          <t>2026-05-20</t>
        </is>
      </c>
      <c r="B30" t="inlineStr">
        <is>
          <t>微信</t>
        </is>
      </c>
      <c r="C30" t="inlineStr">
        <is>
          <t>退款</t>
        </is>
      </c>
      <c r="D30" t="n">
        <v>200</v>
      </c>
      <c r="E30" t="inlineStr">
        <is>
          <t>待分类</t>
        </is>
      </c>
      <c r="F30" t="inlineStr">
        <is>
          <t>成都瑞银投资发展有限公司明悦大酒店 / 成都瑞银投资发展有限公司明悦大酒店 / 已全额退款</t>
        </is>
      </c>
      <c r="G30" t="inlineStr">
        <is>
          <t>账单导入/2026-07-05/extracted/微信/微信支付账单流水文件(20260405-20260705)——【解压密码可在微信支付公众号查看】.xlsx</t>
        </is>
      </c>
      <c r="H30" t="inlineStr">
        <is>
          <t>中</t>
        </is>
      </c>
      <c r="I30" t="inlineStr">
        <is>
          <t>个人/公司归属不明确，请确认</t>
        </is>
      </c>
      <c r="J30" t="inlineStr">
        <is>
          <t>待确认</t>
        </is>
      </c>
      <c r="K30" t="inlineStr"/>
      <c r="L30" t="inlineStr">
        <is>
          <t>75e9a1afa901e64e</t>
        </is>
      </c>
      <c r="M30" t="inlineStr">
        <is>
          <t>20260705-174222-auto-bills</t>
        </is>
      </c>
      <c r="N30" t="inlineStr">
        <is>
          <t>2026-05-20 20:57:38 | 成都瑞银投资发展有限公司明悦大酒店-退款 | 成都瑞银投资发展有限公司明悦大酒店 | 成都瑞银投资发展有限公司明悦大酒店 | 收入 | 200 | 零钱 | 已全额退款 | 50303307232026052062270391913 |  | /</t>
        </is>
      </c>
    </row>
    <row r="31">
      <c r="A31" t="inlineStr">
        <is>
          <t>2026-05-20</t>
        </is>
      </c>
      <c r="B31" t="inlineStr">
        <is>
          <t>招商银行</t>
        </is>
      </c>
      <c r="C31" t="inlineStr">
        <is>
          <t>支出</t>
        </is>
      </c>
      <c r="D31" t="n">
        <v>1</v>
      </c>
      <c r="E31" t="inlineStr">
        <is>
          <t>待分类</t>
        </is>
      </c>
      <c r="F31" t="inlineStr">
        <is>
          <t>CNY -  银联快捷支付 支付宝小荷包-自动攒</t>
        </is>
      </c>
      <c r="G31" t="inlineStr">
        <is>
          <t>账单导入/2026-07-05/extracted/招商银行/招商银行交易流水(申请时间2026年07月05日15时41分46秒).pdf</t>
        </is>
      </c>
      <c r="H31" t="inlineStr">
        <is>
          <t>中</t>
        </is>
      </c>
      <c r="I31" t="inlineStr">
        <is>
          <t>个人/公司归属不明确，请确认</t>
        </is>
      </c>
      <c r="J31" t="inlineStr">
        <is>
          <t>待确认</t>
        </is>
      </c>
      <c r="K31" t="inlineStr"/>
      <c r="L31" t="inlineStr">
        <is>
          <t>b359a3e13ef61fad</t>
        </is>
      </c>
      <c r="M31" t="inlineStr">
        <is>
          <t>20260705-174222-auto-bills</t>
        </is>
      </c>
      <c r="N31" t="inlineStr">
        <is>
          <t>2026-05-20 CNY -1.00 5,073.96 银联快捷支付 支付宝小荷包-自动攒</t>
        </is>
      </c>
    </row>
    <row r="32">
      <c r="A32" t="inlineStr">
        <is>
          <t>2026-05-22</t>
        </is>
      </c>
      <c r="B32" t="inlineStr">
        <is>
          <t>微信</t>
        </is>
      </c>
      <c r="C32" t="inlineStr">
        <is>
          <t>支出</t>
        </is>
      </c>
      <c r="D32" t="n">
        <v>2</v>
      </c>
      <c r="E32" t="inlineStr">
        <is>
          <t>待分类</t>
        </is>
      </c>
      <c r="F32" t="inlineStr">
        <is>
          <t>一码 / 一码App商户-金桥卫生院停车场-川A6Z73C / 支付成功</t>
        </is>
      </c>
      <c r="G32" t="inlineStr">
        <is>
          <t>账单导入/2026-07-05/extracted/微信/微信支付账单流水文件(20260405-20260705)——【解压密码可在微信支付公众号查看】.xlsx</t>
        </is>
      </c>
      <c r="H32" t="inlineStr">
        <is>
          <t>中</t>
        </is>
      </c>
      <c r="I32" t="inlineStr">
        <is>
          <t>个人/公司归属不明确，请确认</t>
        </is>
      </c>
      <c r="J32" t="inlineStr">
        <is>
          <t>待确认</t>
        </is>
      </c>
      <c r="K32" t="inlineStr"/>
      <c r="L32" t="inlineStr">
        <is>
          <t>46d4fd08770b0117</t>
        </is>
      </c>
      <c r="M32" t="inlineStr">
        <is>
          <t>20260705-174222-auto-bills</t>
        </is>
      </c>
      <c r="N32" t="inlineStr">
        <is>
          <t>2026-05-22 09:59:26 | 商户消费 | 一码 | 一码App商户-金桥卫生院停车场-川A6Z73C | 支出 | 2 | 零钱 | 支付成功 | 4500000181202605228085335940 | 0000179146626142 | /</t>
        </is>
      </c>
    </row>
    <row r="33">
      <c r="A33" t="inlineStr">
        <is>
          <t>2026-05-22</t>
        </is>
      </c>
      <c r="B33" t="inlineStr">
        <is>
          <t>微信</t>
        </is>
      </c>
      <c r="C33" t="inlineStr">
        <is>
          <t>支出</t>
        </is>
      </c>
      <c r="D33" t="n">
        <v>2</v>
      </c>
      <c r="E33" t="inlineStr">
        <is>
          <t>待分类</t>
        </is>
      </c>
      <c r="F33" t="inlineStr">
        <is>
          <t>深圳市顺易通信息科技有限公司 / 停车费用-川-A6Z73C-P191115294 / 支付成功</t>
        </is>
      </c>
      <c r="G33" t="inlineStr">
        <is>
          <t>账单导入/2026-07-05/extracted/微信/微信支付账单流水文件(20260405-20260705)——【解压密码可在微信支付公众号查看】.xlsx</t>
        </is>
      </c>
      <c r="H33" t="inlineStr">
        <is>
          <t>中</t>
        </is>
      </c>
      <c r="I33" t="inlineStr">
        <is>
          <t>个人/公司归属不明确，请确认</t>
        </is>
      </c>
      <c r="J33" t="inlineStr">
        <is>
          <t>待确认</t>
        </is>
      </c>
      <c r="K33" t="inlineStr"/>
      <c r="L33" t="inlineStr">
        <is>
          <t>4da633febaf29d7c</t>
        </is>
      </c>
      <c r="M33" t="inlineStr">
        <is>
          <t>20260705-174222-auto-bills</t>
        </is>
      </c>
      <c r="N33" t="inlineStr">
        <is>
          <t>2026-05-22 21:33:58 | 商户消费 | 深圳市顺易通信息科技有限公司 | 停车费用-川-A6Z73C-P191115294 | 支出 | 2 | 零钱 | 支付成功 | 4500000189202605227803012008 | 26052221331110891231105530978108 | /</t>
        </is>
      </c>
    </row>
    <row r="34">
      <c r="A34" t="inlineStr">
        <is>
          <t>2026-05-22</t>
        </is>
      </c>
      <c r="B34" t="inlineStr">
        <is>
          <t>微信</t>
        </is>
      </c>
      <c r="C34" t="inlineStr">
        <is>
          <t>支出</t>
        </is>
      </c>
      <c r="D34" t="n">
        <v>9.9</v>
      </c>
      <c r="E34" t="inlineStr">
        <is>
          <t>待分类</t>
        </is>
      </c>
      <c r="F34" t="inlineStr">
        <is>
          <t>民心购物中心 / 条码支付-总部 / 支付成功</t>
        </is>
      </c>
      <c r="G34" t="inlineStr">
        <is>
          <t>账单导入/2026-07-05/extracted/微信/微信支付账单流水文件(20260405-20260705)——【解压密码可在微信支付公众号查看】.xlsx</t>
        </is>
      </c>
      <c r="H34" t="inlineStr">
        <is>
          <t>中</t>
        </is>
      </c>
      <c r="I34" t="inlineStr">
        <is>
          <t>个人/公司归属不明确，请确认</t>
        </is>
      </c>
      <c r="J34" t="inlineStr">
        <is>
          <t>待确认</t>
        </is>
      </c>
      <c r="K34" t="inlineStr"/>
      <c r="L34" t="inlineStr">
        <is>
          <t>a4ef217e4769a1eb</t>
        </is>
      </c>
      <c r="M34" t="inlineStr">
        <is>
          <t>20260705-174222-auto-bills</t>
        </is>
      </c>
      <c r="N34" t="inlineStr">
        <is>
          <t>2026-05-22 09:38:10 | 商户消费 | 民心购物中心 | 条码支付-总部 | 支出 | 9.9 | 零钱 | 支付成功 | 4200003027202605221879927448 | 20260522110113130166242331534637 | /</t>
        </is>
      </c>
    </row>
    <row r="35">
      <c r="A35" t="inlineStr">
        <is>
          <t>2026-05-22</t>
        </is>
      </c>
      <c r="B35" t="inlineStr">
        <is>
          <t>微信</t>
        </is>
      </c>
      <c r="C35" t="inlineStr">
        <is>
          <t>支出</t>
        </is>
      </c>
      <c r="D35" t="n">
        <v>10</v>
      </c>
      <c r="E35" t="inlineStr">
        <is>
          <t>待分类</t>
        </is>
      </c>
      <c r="F35" t="inlineStr">
        <is>
          <t>金桥镇卫生院 / 移动支付 / 支付成功</t>
        </is>
      </c>
      <c r="G35" t="inlineStr">
        <is>
          <t>账单导入/2026-07-05/extracted/微信/微信支付账单流水文件(20260405-20260705)——【解压密码可在微信支付公众号查看】.xlsx</t>
        </is>
      </c>
      <c r="H35" t="inlineStr">
        <is>
          <t>中</t>
        </is>
      </c>
      <c r="I35" t="inlineStr">
        <is>
          <t>个人/公司归属不明确，请确认</t>
        </is>
      </c>
      <c r="J35" t="inlineStr">
        <is>
          <t>待确认</t>
        </is>
      </c>
      <c r="K35" t="inlineStr"/>
      <c r="L35" t="inlineStr">
        <is>
          <t>0a1dd6f2172a2682</t>
        </is>
      </c>
      <c r="M35" t="inlineStr">
        <is>
          <t>20260705-174222-auto-bills</t>
        </is>
      </c>
      <c r="N35" t="inlineStr">
        <is>
          <t>2026-05-22 08:51:18 | 商户消费 | 金桥镇卫生院 | 移动支付 | 支出 | 10 | 零钱 | 支付成功 | 4200003114202605224156948348 | 26052225220645590192 | /</t>
        </is>
      </c>
    </row>
    <row r="36">
      <c r="A36" t="inlineStr">
        <is>
          <t>2026-05-22</t>
        </is>
      </c>
      <c r="B36" t="inlineStr">
        <is>
          <t>微信</t>
        </is>
      </c>
      <c r="C36" t="inlineStr">
        <is>
          <t>支出</t>
        </is>
      </c>
      <c r="D36" t="n">
        <v>14</v>
      </c>
      <c r="E36" t="inlineStr">
        <is>
          <t>待分类</t>
        </is>
      </c>
      <c r="F36" t="inlineStr">
        <is>
          <t>罗森 / 成都罗森东恒国际店消费 / 支付成功</t>
        </is>
      </c>
      <c r="G36" t="inlineStr">
        <is>
          <t>账单导入/2026-07-05/extracted/微信/微信支付账单流水文件(20260405-20260705)——【解压密码可在微信支付公众号查看】.xlsx</t>
        </is>
      </c>
      <c r="H36" t="inlineStr">
        <is>
          <t>中</t>
        </is>
      </c>
      <c r="I36" t="inlineStr">
        <is>
          <t>个人/公司归属不明确，请确认</t>
        </is>
      </c>
      <c r="J36" t="inlineStr">
        <is>
          <t>待确认</t>
        </is>
      </c>
      <c r="K36" t="inlineStr"/>
      <c r="L36" t="inlineStr">
        <is>
          <t>009ec70113793106</t>
        </is>
      </c>
      <c r="M36" t="inlineStr">
        <is>
          <t>20260705-174222-auto-bills</t>
        </is>
      </c>
      <c r="N36" t="inlineStr">
        <is>
          <t>2026-05-22 18:40:05 | 商户消费 | 罗森 | 成都罗森东恒国际店消费 | 支出 | 14 | 零钱 | 支付成功 | 4200003106202605220032077495 | 750738663088 | /</t>
        </is>
      </c>
    </row>
    <row r="37">
      <c r="A37" t="inlineStr">
        <is>
          <t>2026-05-22</t>
        </is>
      </c>
      <c r="B37" t="inlineStr">
        <is>
          <t>微信</t>
        </is>
      </c>
      <c r="C37" t="inlineStr">
        <is>
          <t>支出</t>
        </is>
      </c>
      <c r="D37" t="n">
        <v>42.23</v>
      </c>
      <c r="E37" t="inlineStr">
        <is>
          <t>待分类</t>
        </is>
      </c>
      <c r="F37" t="inlineStr">
        <is>
          <t>金桥镇卫生院 / 移动支付 / 支付成功</t>
        </is>
      </c>
      <c r="G37" t="inlineStr">
        <is>
          <t>账单导入/2026-07-05/extracted/微信/微信支付账单流水文件(20260405-20260705)——【解压密码可在微信支付公众号查看】.xlsx</t>
        </is>
      </c>
      <c r="H37" t="inlineStr">
        <is>
          <t>中</t>
        </is>
      </c>
      <c r="I37" t="inlineStr">
        <is>
          <t>个人/公司归属不明确，请确认</t>
        </is>
      </c>
      <c r="J37" t="inlineStr">
        <is>
          <t>待确认</t>
        </is>
      </c>
      <c r="K37" t="inlineStr"/>
      <c r="L37" t="inlineStr">
        <is>
          <t>c1d70be8d8d04c7a</t>
        </is>
      </c>
      <c r="M37" t="inlineStr">
        <is>
          <t>20260705-174222-auto-bills</t>
        </is>
      </c>
      <c r="N37" t="inlineStr">
        <is>
          <t>2026-05-22 09:09:34 | 商户消费 | 金桥镇卫生院 | 移动支付 | 支出 | 42.23 | 零钱 | 支付成功 | 4200003036202605221699252762 | 26052225220645605550 | /</t>
        </is>
      </c>
    </row>
    <row r="38">
      <c r="A38" t="inlineStr">
        <is>
          <t>2026-05-22</t>
        </is>
      </c>
      <c r="B38" t="inlineStr">
        <is>
          <t>微信</t>
        </is>
      </c>
      <c r="C38" t="inlineStr">
        <is>
          <t>收入</t>
        </is>
      </c>
      <c r="D38" t="n">
        <v>180</v>
      </c>
      <c r="E38" t="inlineStr">
        <is>
          <t>待分类</t>
        </is>
      </c>
      <c r="F38" t="inlineStr">
        <is>
          <t>刘双全 / 收款方备注:二维码收款 / 已转账</t>
        </is>
      </c>
      <c r="G38" t="inlineStr">
        <is>
          <t>账单导入/2026-07-05/extracted/微信/微信支付账单流水文件(20260405-20260705)——【解压密码可在微信支付公众号查看】.xlsx</t>
        </is>
      </c>
      <c r="H38" t="inlineStr">
        <is>
          <t>中</t>
        </is>
      </c>
      <c r="I38" t="inlineStr">
        <is>
          <t>个人/公司归属不明确，请确认</t>
        </is>
      </c>
      <c r="J38" t="inlineStr">
        <is>
          <t>待确认</t>
        </is>
      </c>
      <c r="K38" t="inlineStr"/>
      <c r="L38" t="inlineStr">
        <is>
          <t>e215714608e7f4c3</t>
        </is>
      </c>
      <c r="M38" t="inlineStr">
        <is>
          <t>20260705-174222-auto-bills</t>
        </is>
      </c>
      <c r="N38" t="inlineStr">
        <is>
          <t>2026-05-22 14:06:05 | 扫二维码付款 | 刘双全 | 收款方备注:二维码收款 | 支出 | 180 | 零钱 | 已转账 | 53110001645098202605224155829993 | 10001073012026052201369842733546 | /</t>
        </is>
      </c>
    </row>
    <row r="39">
      <c r="A39" t="inlineStr">
        <is>
          <t>2026-05-22</t>
        </is>
      </c>
      <c r="B39" t="inlineStr">
        <is>
          <t>招商银行</t>
        </is>
      </c>
      <c r="C39" t="inlineStr">
        <is>
          <t>支出</t>
        </is>
      </c>
      <c r="D39" t="n">
        <v>29.87</v>
      </c>
      <c r="E39" t="inlineStr">
        <is>
          <t>待分类</t>
        </is>
      </c>
      <c r="F39" t="inlineStr">
        <is>
          <t>CNY -  银联快捷支付 京东白条及金条业务网银平台</t>
        </is>
      </c>
      <c r="G39" t="inlineStr">
        <is>
          <t>账单导入/2026-07-05/extracted/招商银行/招商银行交易流水(申请时间2026年07月05日15时41分46秒).pdf</t>
        </is>
      </c>
      <c r="H39" t="inlineStr">
        <is>
          <t>中</t>
        </is>
      </c>
      <c r="I39" t="inlineStr">
        <is>
          <t>个人/公司归属不明确，请确认</t>
        </is>
      </c>
      <c r="J39" t="inlineStr">
        <is>
          <t>待确认</t>
        </is>
      </c>
      <c r="K39" t="inlineStr"/>
      <c r="L39" t="inlineStr">
        <is>
          <t>e58d961a34ee12d5</t>
        </is>
      </c>
      <c r="M39" t="inlineStr">
        <is>
          <t>20260705-174222-auto-bills</t>
        </is>
      </c>
      <c r="N39" t="inlineStr">
        <is>
          <t>2026-05-22 CNY -29.87 5,044.09 银联快捷支付 京东白条及金条业务网银平台</t>
        </is>
      </c>
    </row>
    <row r="40">
      <c r="A40" t="inlineStr">
        <is>
          <t>2026-05-23</t>
        </is>
      </c>
      <c r="B40" t="inlineStr">
        <is>
          <t>微信</t>
        </is>
      </c>
      <c r="C40" t="inlineStr">
        <is>
          <t>支出</t>
        </is>
      </c>
      <c r="D40" t="n">
        <v>16</v>
      </c>
      <c r="E40" t="inlineStr">
        <is>
          <t>待分类</t>
        </is>
      </c>
      <c r="F40" t="inlineStr">
        <is>
          <t>东东酒水 / 东东酒水 / 支付成功</t>
        </is>
      </c>
      <c r="G40" t="inlineStr">
        <is>
          <t>账单导入/2026-07-05/extracted/微信/微信支付账单流水文件(20260405-20260705)——【解压密码可在微信支付公众号查看】.xlsx</t>
        </is>
      </c>
      <c r="H40" t="inlineStr">
        <is>
          <t>中</t>
        </is>
      </c>
      <c r="I40" t="inlineStr">
        <is>
          <t>个人/公司归属不明确，请确认</t>
        </is>
      </c>
      <c r="J40" t="inlineStr">
        <is>
          <t>待确认</t>
        </is>
      </c>
      <c r="K40" t="inlineStr"/>
      <c r="L40" t="inlineStr">
        <is>
          <t>f29e061cbe9b46fc</t>
        </is>
      </c>
      <c r="M40" t="inlineStr">
        <is>
          <t>20260705-174222-auto-bills</t>
        </is>
      </c>
      <c r="N40" t="inlineStr">
        <is>
          <t>2026-05-23 16:08:11 | 商户消费 | 东东酒水 | 东东酒水 | 支出 | 16 | 零钱 | 支付成功 | 4500000106202605233250600224 | 440204037890000052605230005236 | /</t>
        </is>
      </c>
    </row>
    <row r="41">
      <c r="A41" t="inlineStr">
        <is>
          <t>2026-05-23</t>
        </is>
      </c>
      <c r="B41" t="inlineStr">
        <is>
          <t>微信</t>
        </is>
      </c>
      <c r="C41" t="inlineStr">
        <is>
          <t>支出</t>
        </is>
      </c>
      <c r="D41" t="n">
        <v>22</v>
      </c>
      <c r="E41" t="inlineStr">
        <is>
          <t>待分类</t>
        </is>
      </c>
      <c r="F41" t="inlineStr">
        <is>
          <t>东东酒水 / 东东酒水 / 支付成功</t>
        </is>
      </c>
      <c r="G41" t="inlineStr">
        <is>
          <t>账单导入/2026-07-05/extracted/微信/微信支付账单流水文件(20260405-20260705)——【解压密码可在微信支付公众号查看】.xlsx</t>
        </is>
      </c>
      <c r="H41" t="inlineStr">
        <is>
          <t>中</t>
        </is>
      </c>
      <c r="I41" t="inlineStr">
        <is>
          <t>个人/公司归属不明确，请确认</t>
        </is>
      </c>
      <c r="J41" t="inlineStr">
        <is>
          <t>待确认</t>
        </is>
      </c>
      <c r="K41" t="inlineStr"/>
      <c r="L41" t="inlineStr">
        <is>
          <t>c7df5db2058059d7</t>
        </is>
      </c>
      <c r="M41" t="inlineStr">
        <is>
          <t>20260705-174222-auto-bills</t>
        </is>
      </c>
      <c r="N41" t="inlineStr">
        <is>
          <t>2026-05-23 16:36:55 | 商户消费 | 东东酒水 | 东东酒水 | 支出 | 22 | 零钱 | 支付成功 | 4500000193202605233115059558 | 440204037890000052605230003189 | /</t>
        </is>
      </c>
    </row>
    <row r="42">
      <c r="A42" t="inlineStr">
        <is>
          <t>2026-05-23</t>
        </is>
      </c>
      <c r="B42" t="inlineStr">
        <is>
          <t>微信</t>
        </is>
      </c>
      <c r="C42" t="inlineStr">
        <is>
          <t>收入</t>
        </is>
      </c>
      <c r="D42" t="n">
        <v>100</v>
      </c>
      <c r="E42" t="inlineStr">
        <is>
          <t>待分类</t>
        </is>
      </c>
      <c r="F42" t="inlineStr">
        <is>
          <t>爱吃DQ的仓鼠🐹 (爱吃DQ的仓鼠🐹) / 转账备注:租衣服抽成 / 已存入零钱</t>
        </is>
      </c>
      <c r="G42" t="inlineStr">
        <is>
          <t>账单导入/2026-07-05/extracted/微信/微信支付账单流水文件(20260405-20260705)——【解压密码可在微信支付公众号查看】.xlsx</t>
        </is>
      </c>
      <c r="H42" t="inlineStr">
        <is>
          <t>中</t>
        </is>
      </c>
      <c r="I42" t="inlineStr">
        <is>
          <t>个人/公司归属不明确，请确认</t>
        </is>
      </c>
      <c r="J42" t="inlineStr">
        <is>
          <t>待确认</t>
        </is>
      </c>
      <c r="K42" t="inlineStr"/>
      <c r="L42" t="inlineStr">
        <is>
          <t>c58aa535251b6339</t>
        </is>
      </c>
      <c r="M42" t="inlineStr">
        <is>
          <t>20260705-174222-auto-bills</t>
        </is>
      </c>
      <c r="N42" t="inlineStr">
        <is>
          <t>2026-05-23 11:12:14 | 转账 | 爱吃DQ的仓鼠🐹 (爱吃DQ的仓鼠🐹) | 转账备注:租衣服抽成 | 收入 | 100 | / | 已存入零钱 | 1000050001202605230020980466310 | / | /</t>
        </is>
      </c>
    </row>
    <row r="43">
      <c r="A43" t="inlineStr">
        <is>
          <t>2026-05-23</t>
        </is>
      </c>
      <c r="B43" t="inlineStr">
        <is>
          <t>微信</t>
        </is>
      </c>
      <c r="C43" t="inlineStr">
        <is>
          <t>收入</t>
        </is>
      </c>
      <c r="D43" t="n">
        <v>120</v>
      </c>
      <c r="E43" t="inlineStr">
        <is>
          <t>待分类</t>
        </is>
      </c>
      <c r="F43" t="inlineStr">
        <is>
          <t>应东林 (应东林) / 转账备注:微信转账 / 已存入零钱</t>
        </is>
      </c>
      <c r="G43" t="inlineStr">
        <is>
          <t>账单导入/2026-07-05/extracted/微信/微信支付账单流水文件(20260405-20260705)——【解压密码可在微信支付公众号查看】.xlsx</t>
        </is>
      </c>
      <c r="H43" t="inlineStr">
        <is>
          <t>中</t>
        </is>
      </c>
      <c r="I43" t="inlineStr">
        <is>
          <t>个人/公司归属不明确，请确认</t>
        </is>
      </c>
      <c r="J43" t="inlineStr">
        <is>
          <t>待确认</t>
        </is>
      </c>
      <c r="K43" t="inlineStr"/>
      <c r="L43" t="inlineStr">
        <is>
          <t>62a75fddafed0a8d</t>
        </is>
      </c>
      <c r="M43" t="inlineStr">
        <is>
          <t>20260705-174222-auto-bills</t>
        </is>
      </c>
      <c r="N43" t="inlineStr">
        <is>
          <t>2026-05-23 00:00:47 | 转账 | 应东林 (应东林) | 转账备注:微信转账 | 收入 | 120 | / | 已存入零钱 | 1000050001202605220734834650645 | / | /</t>
        </is>
      </c>
    </row>
    <row r="44">
      <c r="A44" t="inlineStr">
        <is>
          <t>2026-05-23</t>
        </is>
      </c>
      <c r="B44" t="inlineStr">
        <is>
          <t>微信</t>
        </is>
      </c>
      <c r="C44" t="inlineStr">
        <is>
          <t>支出</t>
        </is>
      </c>
      <c r="D44" t="n">
        <v>700</v>
      </c>
      <c r="E44" t="inlineStr">
        <is>
          <t>待分类</t>
        </is>
      </c>
      <c r="F44" t="inlineStr">
        <is>
          <t>汇泊 成都 / 东恒国际川A6Z73C月租续费 / 支付成功</t>
        </is>
      </c>
      <c r="G44" t="inlineStr">
        <is>
          <t>账单导入/2026-07-05/extracted/微信/微信支付账单流水文件(20260405-20260705)——【解压密码可在微信支付公众号查看】.xlsx</t>
        </is>
      </c>
      <c r="H44" t="inlineStr">
        <is>
          <t>中</t>
        </is>
      </c>
      <c r="I44" t="inlineStr">
        <is>
          <t>个人/公司归属不明确，请确认</t>
        </is>
      </c>
      <c r="J44" t="inlineStr">
        <is>
          <t>待确认</t>
        </is>
      </c>
      <c r="K44" t="inlineStr"/>
      <c r="L44" t="inlineStr">
        <is>
          <t>4ad7f7b2a135136b</t>
        </is>
      </c>
      <c r="M44" t="inlineStr">
        <is>
          <t>20260705-174222-auto-bills</t>
        </is>
      </c>
      <c r="N44" t="inlineStr">
        <is>
          <t>2026-05-23 13:45:15 | 商户消费 | 汇泊 成都 | 东恒国际川A6Z73C月租续费 | 支出 | 700 | 零钱 | 支付成功 | 4200003098202605232987469559 | DH1779508931574ghybjrti2viq2k9qm | /</t>
        </is>
      </c>
    </row>
    <row r="45">
      <c r="A45" t="inlineStr">
        <is>
          <t>2026-05-24</t>
        </is>
      </c>
      <c r="B45" t="inlineStr">
        <is>
          <t>微信</t>
        </is>
      </c>
      <c r="C45" t="inlineStr">
        <is>
          <t>支出</t>
        </is>
      </c>
      <c r="D45" t="n">
        <v>36</v>
      </c>
      <c r="E45" t="inlineStr">
        <is>
          <t>待分类</t>
        </is>
      </c>
      <c r="F45" t="inlineStr">
        <is>
          <t>华润物业 / 川A6Z73C停车费 / 支付成功</t>
        </is>
      </c>
      <c r="G45" t="inlineStr">
        <is>
          <t>账单导入/2026-07-05/extracted/微信/微信支付账单流水文件(20260405-20260705)——【解压密码可在微信支付公众号查看】.xlsx</t>
        </is>
      </c>
      <c r="H45" t="inlineStr">
        <is>
          <t>中</t>
        </is>
      </c>
      <c r="I45" t="inlineStr">
        <is>
          <t>个人/公司归属不明确，请确认</t>
        </is>
      </c>
      <c r="J45" t="inlineStr">
        <is>
          <t>待确认</t>
        </is>
      </c>
      <c r="K45" t="inlineStr"/>
      <c r="L45" t="inlineStr">
        <is>
          <t>5b5beb58295e3d1c</t>
        </is>
      </c>
      <c r="M45" t="inlineStr">
        <is>
          <t>20260705-174222-auto-bills</t>
        </is>
      </c>
      <c r="N45" t="inlineStr">
        <is>
          <t>2026-05-24 05:36:31 | 商户消费 | 华润物业 | 川A6Z73C停车费 | 支出 | 36 | 零钱 | 支付成功 | 4200003051202605245435990782 | 100426052405362290201842 | /</t>
        </is>
      </c>
    </row>
    <row r="46">
      <c r="A46" t="inlineStr">
        <is>
          <t>2026-05-24</t>
        </is>
      </c>
      <c r="B46" t="inlineStr">
        <is>
          <t>微信</t>
        </is>
      </c>
      <c r="C46" t="inlineStr">
        <is>
          <t>支出</t>
        </is>
      </c>
      <c r="D46" t="n">
        <v>37</v>
      </c>
      <c r="E46" t="inlineStr">
        <is>
          <t>待分类</t>
        </is>
      </c>
      <c r="F46" t="inlineStr">
        <is>
          <t>东东酒水 / 东东酒水 / 支付成功</t>
        </is>
      </c>
      <c r="G46" t="inlineStr">
        <is>
          <t>账单导入/2026-07-05/extracted/微信/微信支付账单流水文件(20260405-20260705)——【解压密码可在微信支付公众号查看】.xlsx</t>
        </is>
      </c>
      <c r="H46" t="inlineStr">
        <is>
          <t>中</t>
        </is>
      </c>
      <c r="I46" t="inlineStr">
        <is>
          <t>个人/公司归属不明确，请确认</t>
        </is>
      </c>
      <c r="J46" t="inlineStr">
        <is>
          <t>待确认</t>
        </is>
      </c>
      <c r="K46" t="inlineStr"/>
      <c r="L46" t="inlineStr">
        <is>
          <t>d7b7d711de2516da</t>
        </is>
      </c>
      <c r="M46" t="inlineStr">
        <is>
          <t>20260705-174222-auto-bills</t>
        </is>
      </c>
      <c r="N46" t="inlineStr">
        <is>
          <t>2026-05-24 10:06:24 | 商户消费 | 东东酒水 | 东东酒水 | 支出 | 37 | 零钱 | 支付成功 | 4500000193202605242503993739 | 440204037890000062605240003180 | /</t>
        </is>
      </c>
    </row>
    <row r="47">
      <c r="A47" t="inlineStr">
        <is>
          <t>2026-05-24</t>
        </is>
      </c>
      <c r="B47" t="inlineStr">
        <is>
          <t>微信</t>
        </is>
      </c>
      <c r="C47" t="inlineStr">
        <is>
          <t>支出</t>
        </is>
      </c>
      <c r="D47" t="n">
        <v>200</v>
      </c>
      <c r="E47" t="inlineStr">
        <is>
          <t>待分类</t>
        </is>
      </c>
      <c r="F47" t="inlineStr">
        <is>
          <t>爱吃DQ的仓鼠🐹 (爱吃DQ的仓鼠🐹) / 转账备注:微信转账 / 对方已收钱</t>
        </is>
      </c>
      <c r="G47" t="inlineStr">
        <is>
          <t>账单导入/2026-07-05/extracted/微信/微信支付账单流水文件(20260405-20260705)——【解压密码可在微信支付公众号查看】.xlsx</t>
        </is>
      </c>
      <c r="H47" t="inlineStr">
        <is>
          <t>中</t>
        </is>
      </c>
      <c r="I47" t="inlineStr">
        <is>
          <t>个人/公司归属不明确，请确认</t>
        </is>
      </c>
      <c r="J47" t="inlineStr">
        <is>
          <t>待确认</t>
        </is>
      </c>
      <c r="K47" t="inlineStr"/>
      <c r="L47" t="inlineStr">
        <is>
          <t>b841cea378b90f38</t>
        </is>
      </c>
      <c r="M47" t="inlineStr">
        <is>
          <t>20260705-174222-auto-bills</t>
        </is>
      </c>
      <c r="N47" t="inlineStr">
        <is>
          <t>2026-05-24 06:23:55 | 转账 | 爱吃DQ的仓鼠🐹 (爱吃DQ的仓鼠🐹) | 转账备注:微信转账 | 支出 | 200 | 零钱 | 对方已收钱 | 53010003081059202605244013034999 | 1000050001202605240530260354319 | /</t>
        </is>
      </c>
    </row>
    <row r="48">
      <c r="A48" t="inlineStr">
        <is>
          <t>2026-05-24</t>
        </is>
      </c>
      <c r="B48" t="inlineStr">
        <is>
          <t>微信</t>
        </is>
      </c>
      <c r="C48" t="inlineStr">
        <is>
          <t>收入</t>
        </is>
      </c>
      <c r="D48" t="n">
        <v>400</v>
      </c>
      <c r="E48" t="inlineStr">
        <is>
          <t>待分类</t>
        </is>
      </c>
      <c r="F48" t="inlineStr">
        <is>
          <t>应东林 (应东林) / 转账备注:微信转账 / 已存入零钱</t>
        </is>
      </c>
      <c r="G48" t="inlineStr">
        <is>
          <t>账单导入/2026-07-05/extracted/微信/微信支付账单流水文件(20260405-20260705)——【解压密码可在微信支付公众号查看】.xlsx</t>
        </is>
      </c>
      <c r="H48" t="inlineStr">
        <is>
          <t>中</t>
        </is>
      </c>
      <c r="I48" t="inlineStr">
        <is>
          <t>个人/公司归属不明确，请确认</t>
        </is>
      </c>
      <c r="J48" t="inlineStr">
        <is>
          <t>待确认</t>
        </is>
      </c>
      <c r="K48" t="inlineStr"/>
      <c r="L48" t="inlineStr">
        <is>
          <t>fad6aff9b802d9ca</t>
        </is>
      </c>
      <c r="M48" t="inlineStr">
        <is>
          <t>20260705-174222-auto-bills</t>
        </is>
      </c>
      <c r="N48" t="inlineStr">
        <is>
          <t>2026-05-24 06:23:39 | 转账 | 应东林 (应东林) | 转账备注:微信转账 | 收入 | 400 | / | 已存入零钱 | 1000050001202605240537164256567 | / | /</t>
        </is>
      </c>
    </row>
    <row r="49">
      <c r="A49" t="inlineStr">
        <is>
          <t>2026-05-25</t>
        </is>
      </c>
      <c r="B49" t="inlineStr">
        <is>
          <t>微信</t>
        </is>
      </c>
      <c r="C49" t="inlineStr">
        <is>
          <t>支出</t>
        </is>
      </c>
      <c r="D49" t="n">
        <v>3.9</v>
      </c>
      <c r="E49" t="inlineStr">
        <is>
          <t>待分类</t>
        </is>
      </c>
      <c r="F49" t="inlineStr">
        <is>
          <t>好想来零食乐园 / 成都龙泉驿区长江职业学院店 / 支付成功</t>
        </is>
      </c>
      <c r="G49" t="inlineStr">
        <is>
          <t>账单导入/2026-07-05/extracted/微信/微信支付账单流水文件(20260405-20260705)——【解压密码可在微信支付公众号查看】.xlsx</t>
        </is>
      </c>
      <c r="H49" t="inlineStr">
        <is>
          <t>中</t>
        </is>
      </c>
      <c r="I49" t="inlineStr">
        <is>
          <t>个人/公司归属不明确，请确认</t>
        </is>
      </c>
      <c r="J49" t="inlineStr">
        <is>
          <t>待确认</t>
        </is>
      </c>
      <c r="K49" t="inlineStr"/>
      <c r="L49" t="inlineStr">
        <is>
          <t>95a95fdfed89feb5</t>
        </is>
      </c>
      <c r="M49" t="inlineStr">
        <is>
          <t>20260705-174222-auto-bills</t>
        </is>
      </c>
      <c r="N49" t="inlineStr">
        <is>
          <t>2026-05-25 23:32:58 | 商户消费 | 好想来零食乐园 | 成都龙泉驿区长江职业学院店 | 支出 | 3.9 | 零钱 | 支付成功 | 4200003109202605251093663645 | 002226052523325701112269 | /</t>
        </is>
      </c>
    </row>
    <row r="50">
      <c r="A50" t="inlineStr">
        <is>
          <t>2026-05-25</t>
        </is>
      </c>
      <c r="B50" t="inlineStr">
        <is>
          <t>微信</t>
        </is>
      </c>
      <c r="C50" t="inlineStr">
        <is>
          <t>成本</t>
        </is>
      </c>
      <c r="D50" t="n">
        <v>180</v>
      </c>
      <c r="E50" t="inlineStr">
        <is>
          <t>购买费用</t>
        </is>
      </c>
      <c r="F50" t="inlineStr">
        <is>
          <t>锦江区红美家灯饰店 / 锦江区红美家灯饰店 / 支付成功</t>
        </is>
      </c>
      <c r="G50" t="inlineStr">
        <is>
          <t>账单导入/2026-07-05/extracted/微信/微信支付账单流水文件(20260405-20260705)——【解压密码可在微信支付公众号查看】.xlsx</t>
        </is>
      </c>
      <c r="H50" t="inlineStr">
        <is>
          <t>中</t>
        </is>
      </c>
      <c r="I50" t="inlineStr">
        <is>
          <t>疑似公司交易，请确认用途</t>
        </is>
      </c>
      <c r="J50" t="inlineStr">
        <is>
          <t>待确认</t>
        </is>
      </c>
      <c r="K50" t="inlineStr"/>
      <c r="L50" t="inlineStr">
        <is>
          <t>fd9cdfc3a1ce64c1</t>
        </is>
      </c>
      <c r="M50" t="inlineStr">
        <is>
          <t>20260705-174222-auto-bills</t>
        </is>
      </c>
      <c r="N50" t="inlineStr">
        <is>
          <t>2026-05-25 15:11:13 | 商户消费 | 锦江区红美家灯饰店 | 锦江区红美家灯饰店 | 支出 | 180 | 零钱 | 支付成功 | 4500000172202605256632180223 | 403590225862202605252154336443 | /</t>
        </is>
      </c>
    </row>
    <row r="51">
      <c r="A51" t="inlineStr">
        <is>
          <t>2026-05-25</t>
        </is>
      </c>
      <c r="B51" t="inlineStr">
        <is>
          <t>微信</t>
        </is>
      </c>
      <c r="C51" t="inlineStr">
        <is>
          <t>支出</t>
        </is>
      </c>
      <c r="D51" t="n">
        <v>190</v>
      </c>
      <c r="E51" t="inlineStr">
        <is>
          <t>待分类</t>
        </is>
      </c>
      <c r="F51" t="inlineStr">
        <is>
          <t>精典烧烤 / 精典烧烤 / 支付成功</t>
        </is>
      </c>
      <c r="G51" t="inlineStr">
        <is>
          <t>账单导入/2026-07-05/extracted/微信/微信支付账单流水文件(20260405-20260705)——【解压密码可在微信支付公众号查看】.xlsx</t>
        </is>
      </c>
      <c r="H51" t="inlineStr">
        <is>
          <t>中</t>
        </is>
      </c>
      <c r="I51" t="inlineStr">
        <is>
          <t>个人/公司归属不明确，请确认</t>
        </is>
      </c>
      <c r="J51" t="inlineStr">
        <is>
          <t>待确认</t>
        </is>
      </c>
      <c r="K51" t="inlineStr"/>
      <c r="L51" t="inlineStr">
        <is>
          <t>237f0531a7eee5d4</t>
        </is>
      </c>
      <c r="M51" t="inlineStr">
        <is>
          <t>20260705-174222-auto-bills</t>
        </is>
      </c>
      <c r="N51" t="inlineStr">
        <is>
          <t>2026-05-25 23:26:00 | 商户消费 | 精典烧烤 | 精典烧烤 | 支出 | 190 | 零钱 | 支付成功 | 4500000206202605253697768875 | 440205006250000062605250617547 | /</t>
        </is>
      </c>
    </row>
    <row r="52">
      <c r="A52" t="inlineStr">
        <is>
          <t>2026-05-25</t>
        </is>
      </c>
      <c r="B52" t="inlineStr">
        <is>
          <t>微信</t>
        </is>
      </c>
      <c r="C52" t="inlineStr">
        <is>
          <t>支出</t>
        </is>
      </c>
      <c r="D52" t="n">
        <v>10009.9</v>
      </c>
      <c r="E52" t="inlineStr">
        <is>
          <t>待分类</t>
        </is>
      </c>
      <c r="F52" t="inlineStr">
        <is>
          <t>招商银行(3531) / / / 提现已到账</t>
        </is>
      </c>
      <c r="G52" t="inlineStr">
        <is>
          <t>账单导入/2026-07-05/extracted/微信/微信支付账单流水文件(20260405-20260705)——【解压密码可在微信支付公众号查看】.xlsx</t>
        </is>
      </c>
      <c r="H52" t="inlineStr">
        <is>
          <t>中</t>
        </is>
      </c>
      <c r="I52" t="inlineStr">
        <is>
          <t>个人/公司归属不明确，请确认</t>
        </is>
      </c>
      <c r="J52" t="inlineStr">
        <is>
          <t>待确认</t>
        </is>
      </c>
      <c r="K52" t="inlineStr"/>
      <c r="L52" t="inlineStr">
        <is>
          <t>770f23793b2c4392</t>
        </is>
      </c>
      <c r="M52" t="inlineStr">
        <is>
          <t>20260705-174222-auto-bills</t>
        </is>
      </c>
      <c r="N52" t="inlineStr">
        <is>
          <t>2026-05-25 13:27:34 | 零钱提现 | 招商银行(3531) | / | / | 10009.9 | 招商银行储蓄卡(3531) | 提现已到账 | 207260525109957312309164687221 | / | 服务费¥9.90</t>
        </is>
      </c>
    </row>
    <row r="53">
      <c r="A53" t="inlineStr">
        <is>
          <t>2026-05-25</t>
        </is>
      </c>
      <c r="B53" t="inlineStr">
        <is>
          <t>招商银行</t>
        </is>
      </c>
      <c r="C53" t="inlineStr">
        <is>
          <t>支出</t>
        </is>
      </c>
      <c r="D53" t="n">
        <v>69</v>
      </c>
      <c r="E53" t="inlineStr">
        <is>
          <t>待分类</t>
        </is>
      </c>
      <c r="F53" t="inlineStr">
        <is>
          <t>CNY -  银联快捷支付 昆明市西山区信合源经营部</t>
        </is>
      </c>
      <c r="G53" t="inlineStr">
        <is>
          <t>账单导入/2026-07-05/extracted/招商银行/招商银行交易流水(申请时间2026年07月05日15时41分46秒).pdf</t>
        </is>
      </c>
      <c r="H53" t="inlineStr">
        <is>
          <t>中</t>
        </is>
      </c>
      <c r="I53" t="inlineStr">
        <is>
          <t>个人/公司归属不明确，请确认</t>
        </is>
      </c>
      <c r="J53" t="inlineStr">
        <is>
          <t>待确认</t>
        </is>
      </c>
      <c r="K53" t="inlineStr"/>
      <c r="L53" t="inlineStr">
        <is>
          <t>debf7fd5cb62183a</t>
        </is>
      </c>
      <c r="M53" t="inlineStr">
        <is>
          <t>20260705-174222-auto-bills</t>
        </is>
      </c>
      <c r="N53" t="inlineStr">
        <is>
          <t>2026-05-25 CNY -69.00 4,875.09 银联快捷支付 昆明市西山区信合源经营部</t>
        </is>
      </c>
    </row>
    <row r="54">
      <c r="A54" t="inlineStr">
        <is>
          <t>2026-05-25</t>
        </is>
      </c>
      <c r="B54" t="inlineStr">
        <is>
          <t>招商银行</t>
        </is>
      </c>
      <c r="C54" t="inlineStr">
        <is>
          <t>支出</t>
        </is>
      </c>
      <c r="D54" t="n">
        <v>100</v>
      </c>
      <c r="E54" t="inlineStr">
        <is>
          <t>待分类</t>
        </is>
      </c>
      <c r="F54" t="inlineStr">
        <is>
          <t>CNY -  银联快捷支付 支付宝支付科技有限公司</t>
        </is>
      </c>
      <c r="G54" t="inlineStr">
        <is>
          <t>账单导入/2026-07-05/extracted/招商银行/招商银行交易流水(申请时间2026年07月05日15时41分46秒).pdf</t>
        </is>
      </c>
      <c r="H54" t="inlineStr">
        <is>
          <t>中</t>
        </is>
      </c>
      <c r="I54" t="inlineStr">
        <is>
          <t>个人/公司归属不明确，请确认</t>
        </is>
      </c>
      <c r="J54" t="inlineStr">
        <is>
          <t>待确认</t>
        </is>
      </c>
      <c r="K54" t="inlineStr"/>
      <c r="L54" t="inlineStr">
        <is>
          <t>8dc5a14cca9d7a45</t>
        </is>
      </c>
      <c r="M54" t="inlineStr">
        <is>
          <t>20260705-174222-auto-bills</t>
        </is>
      </c>
      <c r="N54" t="inlineStr">
        <is>
          <t>2026-05-25 CNY -100.00 4,944.09 银联快捷支付 支付宝支付科技有限公司</t>
        </is>
      </c>
    </row>
    <row r="55">
      <c r="A55" t="inlineStr">
        <is>
          <t>2026-05-25</t>
        </is>
      </c>
      <c r="B55" t="inlineStr">
        <is>
          <t>招商银行</t>
        </is>
      </c>
      <c r="C55" t="inlineStr">
        <is>
          <t>支出</t>
        </is>
      </c>
      <c r="D55" t="n">
        <v>4360.69</v>
      </c>
      <c r="E55" t="inlineStr">
        <is>
          <t>待分类</t>
        </is>
      </c>
      <c r="F55" t="inlineStr">
        <is>
          <t>CNY -  信用卡自动还款 吴文凯</t>
        </is>
      </c>
      <c r="G55" t="inlineStr">
        <is>
          <t>账单导入/2026-07-05/extracted/招商银行/招商银行交易流水(申请时间2026年07月05日15时41分46秒).pdf</t>
        </is>
      </c>
      <c r="H55" t="inlineStr">
        <is>
          <t>中</t>
        </is>
      </c>
      <c r="I55" t="inlineStr">
        <is>
          <t>个人/公司归属不明确，请确认</t>
        </is>
      </c>
      <c r="J55" t="inlineStr">
        <is>
          <t>待确认</t>
        </is>
      </c>
      <c r="K55" t="inlineStr"/>
      <c r="L55" t="inlineStr">
        <is>
          <t>ea922dac39e73a5b</t>
        </is>
      </c>
      <c r="M55" t="inlineStr">
        <is>
          <t>20260705-174222-auto-bills</t>
        </is>
      </c>
      <c r="N55" t="inlineStr">
        <is>
          <t>2026-05-25 CNY -4,360.69 5,639.31 信用卡自动还款 吴文凯</t>
        </is>
      </c>
    </row>
    <row r="56">
      <c r="A56" t="inlineStr">
        <is>
          <t>2026-05-25</t>
        </is>
      </c>
      <c r="B56" t="inlineStr">
        <is>
          <t>招商银行</t>
        </is>
      </c>
      <c r="C56" t="inlineStr">
        <is>
          <t>支出</t>
        </is>
      </c>
      <c r="D56" t="n">
        <v>4875.09</v>
      </c>
      <c r="E56" t="inlineStr">
        <is>
          <t>待分类</t>
        </is>
      </c>
      <c r="F56" t="inlineStr">
        <is>
          <t>CNY -  信用卡预约还款 吴文凯</t>
        </is>
      </c>
      <c r="G56" t="inlineStr">
        <is>
          <t>账单导入/2026-07-05/extracted/招商银行/招商银行交易流水(申请时间2026年07月05日15时41分46秒).pdf</t>
        </is>
      </c>
      <c r="H56" t="inlineStr">
        <is>
          <t>中</t>
        </is>
      </c>
      <c r="I56" t="inlineStr">
        <is>
          <t>个人/公司归属不明确，请确认</t>
        </is>
      </c>
      <c r="J56" t="inlineStr">
        <is>
          <t>待确认</t>
        </is>
      </c>
      <c r="K56" t="inlineStr"/>
      <c r="L56" t="inlineStr">
        <is>
          <t>3c61ea9942f12cbf</t>
        </is>
      </c>
      <c r="M56" t="inlineStr">
        <is>
          <t>20260705-174222-auto-bills</t>
        </is>
      </c>
      <c r="N56" t="inlineStr">
        <is>
          <t>2026-05-25 CNY -4,875.09 0.00 信用卡预约还款 吴文凯</t>
        </is>
      </c>
    </row>
    <row r="57">
      <c r="A57" t="inlineStr">
        <is>
          <t>2026-05-25</t>
        </is>
      </c>
      <c r="B57" t="inlineStr">
        <is>
          <t>招商银行</t>
        </is>
      </c>
      <c r="C57" t="inlineStr">
        <is>
          <t>待判断</t>
        </is>
      </c>
      <c r="D57" t="n">
        <v>10000</v>
      </c>
      <c r="E57" t="inlineStr">
        <is>
          <t>待分类</t>
        </is>
      </c>
      <c r="F57" t="inlineStr">
        <is>
          <t>CNY   银联代付 吴文凯</t>
        </is>
      </c>
      <c r="G57" t="inlineStr">
        <is>
          <t>账单导入/2026-07-05/extracted/招商银行/招商银行交易流水(申请时间2026年07月05日15时41分46秒).pdf</t>
        </is>
      </c>
      <c r="H57" t="inlineStr">
        <is>
          <t>低</t>
        </is>
      </c>
      <c r="I57" t="inlineStr">
        <is>
          <t>个人/公司归属不明确，请确认</t>
        </is>
      </c>
      <c r="J57" t="inlineStr">
        <is>
          <t>待确认</t>
        </is>
      </c>
      <c r="K57" t="inlineStr"/>
      <c r="L57" t="inlineStr">
        <is>
          <t>c96b17adbc79d237</t>
        </is>
      </c>
      <c r="M57" t="inlineStr">
        <is>
          <t>20260705-174222-auto-bills</t>
        </is>
      </c>
      <c r="N57" t="inlineStr">
        <is>
          <t>2026-05-25 CNY 10,000.00 10,000.00 银联代付 吴文凯</t>
        </is>
      </c>
    </row>
    <row r="58">
      <c r="A58" t="inlineStr">
        <is>
          <t>2026-05-26</t>
        </is>
      </c>
      <c r="B58" t="inlineStr">
        <is>
          <t>微信</t>
        </is>
      </c>
      <c r="C58" t="inlineStr">
        <is>
          <t>成本</t>
        </is>
      </c>
      <c r="D58" t="n">
        <v>10.75</v>
      </c>
      <c r="E58" t="inlineStr">
        <is>
          <t>购买费用</t>
        </is>
      </c>
      <c r="F58" t="inlineStr">
        <is>
          <t>拼多多平台商户 / 先用后付 / 支付成功</t>
        </is>
      </c>
      <c r="G58" t="inlineStr">
        <is>
          <t>账单导入/2026-07-05/extracted/微信/微信支付账单流水文件(20260405-20260705)——【解压密码可在微信支付公众号查看】.xlsx</t>
        </is>
      </c>
      <c r="H58" t="inlineStr">
        <is>
          <t>中</t>
        </is>
      </c>
      <c r="I58" t="inlineStr">
        <is>
          <t>疑似公司交易，请确认用途</t>
        </is>
      </c>
      <c r="J58" t="inlineStr">
        <is>
          <t>待确认</t>
        </is>
      </c>
      <c r="K58" t="inlineStr"/>
      <c r="L58" t="inlineStr">
        <is>
          <t>3f7c77c14d73cb14</t>
        </is>
      </c>
      <c r="M58" t="inlineStr">
        <is>
          <t>20260705-174222-auto-bills</t>
        </is>
      </c>
      <c r="N58" t="inlineStr">
        <is>
          <t>2026-05-26 10:21:36 | 商户消费 | 拼多多平台商户 | 先用后付 | 支出 | 10.75 | 招商银行信用卡(1439) | 支付成功 | 4200003072202605269521491393 | miQUPV697clVZVwmYcFkLzxxxxPWrhvx | /</t>
        </is>
      </c>
    </row>
    <row r="59">
      <c r="A59" t="inlineStr">
        <is>
          <t>2026-05-26</t>
        </is>
      </c>
      <c r="B59" t="inlineStr">
        <is>
          <t>微信</t>
        </is>
      </c>
      <c r="C59" t="inlineStr">
        <is>
          <t>成本</t>
        </is>
      </c>
      <c r="D59" t="n">
        <v>18</v>
      </c>
      <c r="E59" t="inlineStr">
        <is>
          <t>购买费用</t>
        </is>
      </c>
      <c r="F59" t="inlineStr">
        <is>
          <t>拼多多平台商户 / 先用后付 / 支付成功</t>
        </is>
      </c>
      <c r="G59" t="inlineStr">
        <is>
          <t>账单导入/2026-07-05/extracted/微信/微信支付账单流水文件(20260405-20260705)——【解压密码可在微信支付公众号查看】.xlsx</t>
        </is>
      </c>
      <c r="H59" t="inlineStr">
        <is>
          <t>中</t>
        </is>
      </c>
      <c r="I59" t="inlineStr">
        <is>
          <t>疑似公司交易，请确认用途</t>
        </is>
      </c>
      <c r="J59" t="inlineStr">
        <is>
          <t>待确认</t>
        </is>
      </c>
      <c r="K59" t="inlineStr"/>
      <c r="L59" t="inlineStr">
        <is>
          <t>b57849c7d601ed48</t>
        </is>
      </c>
      <c r="M59" t="inlineStr">
        <is>
          <t>20260705-174222-auto-bills</t>
        </is>
      </c>
      <c r="N59" t="inlineStr">
        <is>
          <t>2026-05-26 10:06:45 | 商户消费 | 拼多多平台商户 | 先用后付 | 支出 | 18 | 招商银行信用卡(1439) | 支付成功 | 4200003057202605262511275914 | wDz9lMGKeJ-uXm4THgBcZ7xxxxxaRC6x | /</t>
        </is>
      </c>
    </row>
    <row r="60">
      <c r="A60" t="inlineStr">
        <is>
          <t>2026-05-26</t>
        </is>
      </c>
      <c r="B60" t="inlineStr">
        <is>
          <t>微信</t>
        </is>
      </c>
      <c r="C60" t="inlineStr">
        <is>
          <t>支出</t>
        </is>
      </c>
      <c r="D60" t="n">
        <v>40</v>
      </c>
      <c r="E60" t="inlineStr">
        <is>
          <t>待分类</t>
        </is>
      </c>
      <c r="F60" t="inlineStr">
        <is>
          <t>爱吃DQ的仓鼠🐹 (爱吃DQ的仓鼠🐹) / 转账备注:棉花 / 对方已收钱</t>
        </is>
      </c>
      <c r="G60" t="inlineStr">
        <is>
          <t>账单导入/2026-07-05/extracted/微信/微信支付账单流水文件(20260405-20260705)——【解压密码可在微信支付公众号查看】.xlsx</t>
        </is>
      </c>
      <c r="H60" t="inlineStr">
        <is>
          <t>中</t>
        </is>
      </c>
      <c r="I60" t="inlineStr">
        <is>
          <t>个人/公司归属不明确，请确认</t>
        </is>
      </c>
      <c r="J60" t="inlineStr">
        <is>
          <t>待确认</t>
        </is>
      </c>
      <c r="K60" t="inlineStr"/>
      <c r="L60" t="inlineStr">
        <is>
          <t>699672c167ea4b13</t>
        </is>
      </c>
      <c r="M60" t="inlineStr">
        <is>
          <t>20260705-174222-auto-bills</t>
        </is>
      </c>
      <c r="N60" t="inlineStr">
        <is>
          <t>2026-05-26 10:52:37 | 转账 | 爱吃DQ的仓鼠🐹 (爱吃DQ的仓鼠🐹) | 转账备注:棉花 | 支出 | 40 | 零钱 | 对方已收钱 | 53010003085010202605261687007208 | 1000050001202605260337515558657 | /</t>
        </is>
      </c>
    </row>
    <row r="61">
      <c r="A61" t="inlineStr">
        <is>
          <t>2026-05-26</t>
        </is>
      </c>
      <c r="B61" t="inlineStr">
        <is>
          <t>微信</t>
        </is>
      </c>
      <c r="C61" t="inlineStr">
        <is>
          <t>支出</t>
        </is>
      </c>
      <c r="D61" t="n">
        <v>65</v>
      </c>
      <c r="E61" t="inlineStr">
        <is>
          <t>待分类</t>
        </is>
      </c>
      <c r="F61" t="inlineStr">
        <is>
          <t>爱吃DQ的仓鼠🐹 (爱吃DQ的仓鼠🐹) / 转账备注:微信转账 / 对方已收钱</t>
        </is>
      </c>
      <c r="G61" t="inlineStr">
        <is>
          <t>账单导入/2026-07-05/extracted/微信/微信支付账单流水文件(20260405-20260705)——【解压密码可在微信支付公众号查看】.xlsx</t>
        </is>
      </c>
      <c r="H61" t="inlineStr">
        <is>
          <t>中</t>
        </is>
      </c>
      <c r="I61" t="inlineStr">
        <is>
          <t>个人/公司归属不明确，请确认</t>
        </is>
      </c>
      <c r="J61" t="inlineStr">
        <is>
          <t>待确认</t>
        </is>
      </c>
      <c r="K61" t="inlineStr"/>
      <c r="L61" t="inlineStr">
        <is>
          <t>5cd3794c024ba201</t>
        </is>
      </c>
      <c r="M61" t="inlineStr">
        <is>
          <t>20260705-174222-auto-bills</t>
        </is>
      </c>
      <c r="N61" t="inlineStr">
        <is>
          <t>2026-05-26 00:24:41 | 转账 | 爱吃DQ的仓鼠🐹 (爱吃DQ的仓鼠🐹) | 转账备注:微信转账 | 支出 | 65 | 零钱 | 对方已收钱 | 53010003061033202605261400636808 | 1000050001202605260139883774550 | /</t>
        </is>
      </c>
    </row>
    <row r="62">
      <c r="A62" t="inlineStr">
        <is>
          <t>2026-05-26</t>
        </is>
      </c>
      <c r="B62" t="inlineStr">
        <is>
          <t>微信</t>
        </is>
      </c>
      <c r="C62" t="inlineStr">
        <is>
          <t>成本</t>
        </is>
      </c>
      <c r="D62" t="n">
        <v>75</v>
      </c>
      <c r="E62" t="inlineStr">
        <is>
          <t>购买费用</t>
        </is>
      </c>
      <c r="F62" t="inlineStr">
        <is>
          <t>锦江区红美家灯饰店 / 锦江区红美家灯饰店 / 支付成功</t>
        </is>
      </c>
      <c r="G62" t="inlineStr">
        <is>
          <t>账单导入/2026-07-05/extracted/微信/微信支付账单流水文件(20260405-20260705)——【解压密码可在微信支付公众号查看】.xlsx</t>
        </is>
      </c>
      <c r="H62" t="inlineStr">
        <is>
          <t>中</t>
        </is>
      </c>
      <c r="I62" t="inlineStr">
        <is>
          <t>疑似公司交易，请确认用途</t>
        </is>
      </c>
      <c r="J62" t="inlineStr">
        <is>
          <t>待确认</t>
        </is>
      </c>
      <c r="K62" t="inlineStr"/>
      <c r="L62" t="inlineStr">
        <is>
          <t>0f0f580db84a2e8f</t>
        </is>
      </c>
      <c r="M62" t="inlineStr">
        <is>
          <t>20260705-174222-auto-bills</t>
        </is>
      </c>
      <c r="N62" t="inlineStr">
        <is>
          <t>2026-05-26 16:51:28 | 商户消费 | 锦江区红美家灯饰店 | 锦江区红美家灯饰店 | 支出 | 75 | 零钱 | 支付成功 | 4500000165202605265048851034 | 403590225862202605262161693348 | /</t>
        </is>
      </c>
    </row>
    <row r="63">
      <c r="A63" t="inlineStr">
        <is>
          <t>2026-05-26</t>
        </is>
      </c>
      <c r="B63" t="inlineStr">
        <is>
          <t>微信</t>
        </is>
      </c>
      <c r="C63" t="inlineStr">
        <is>
          <t>退款</t>
        </is>
      </c>
      <c r="D63" t="n">
        <v>199</v>
      </c>
      <c r="E63" t="inlineStr">
        <is>
          <t>待分类</t>
        </is>
      </c>
      <c r="F63" t="inlineStr">
        <is>
          <t>生财有术知识星球商户号 / 生财有术知识星球商户号 / 已全额退款</t>
        </is>
      </c>
      <c r="G63" t="inlineStr">
        <is>
          <t>账单导入/2026-07-05/extracted/微信/微信支付账单流水文件(20260405-20260705)——【解压密码可在微信支付公众号查看】.xlsx</t>
        </is>
      </c>
      <c r="H63" t="inlineStr">
        <is>
          <t>中</t>
        </is>
      </c>
      <c r="I63" t="inlineStr">
        <is>
          <t>个人/公司归属不明确，请确认</t>
        </is>
      </c>
      <c r="J63" t="inlineStr">
        <is>
          <t>待确认</t>
        </is>
      </c>
      <c r="K63" t="inlineStr"/>
      <c r="L63" t="inlineStr">
        <is>
          <t>891d30ce83758a6f</t>
        </is>
      </c>
      <c r="M63" t="inlineStr">
        <is>
          <t>20260705-174222-auto-bills</t>
        </is>
      </c>
      <c r="N63" t="inlineStr">
        <is>
          <t>2026-05-26 12:46:45 | 生财有术知识星球商户号-退款 | 生财有术知识星球商户号 | 生财有术知识星球商户号 | 收入 | 199 | 招商银行信用卡(1439) | 已全额退款 | 50302606942026052653526937881 |  | /</t>
        </is>
      </c>
    </row>
    <row r="64">
      <c r="A64" t="inlineStr">
        <is>
          <t>2026-05-26</t>
        </is>
      </c>
      <c r="B64" t="inlineStr">
        <is>
          <t>微信</t>
        </is>
      </c>
      <c r="C64" t="inlineStr">
        <is>
          <t>支出</t>
        </is>
      </c>
      <c r="D64" t="n">
        <v>381.75</v>
      </c>
      <c r="E64" t="inlineStr">
        <is>
          <t>待分类</t>
        </is>
      </c>
      <c r="F64" t="inlineStr">
        <is>
          <t>滴滴加油 / 滴滴加油订单 / 支付成功</t>
        </is>
      </c>
      <c r="G64" t="inlineStr">
        <is>
          <t>账单导入/2026-07-05/extracted/微信/微信支付账单流水文件(20260405-20260705)——【解压密码可在微信支付公众号查看】.xlsx</t>
        </is>
      </c>
      <c r="H64" t="inlineStr">
        <is>
          <t>中</t>
        </is>
      </c>
      <c r="I64" t="inlineStr">
        <is>
          <t>疑似个人交易，请确认是否排除</t>
        </is>
      </c>
      <c r="J64" t="inlineStr">
        <is>
          <t>待确认</t>
        </is>
      </c>
      <c r="K64" t="inlineStr"/>
      <c r="L64" t="inlineStr">
        <is>
          <t>52d787c7ba04c1b7</t>
        </is>
      </c>
      <c r="M64" t="inlineStr">
        <is>
          <t>20260705-174222-auto-bills</t>
        </is>
      </c>
      <c r="N64" t="inlineStr">
        <is>
          <t>2026-05-26 21:17:27 | 商户消费 | 滴滴加油 | 滴滴加油订单 | 支出 | 381.75 | 零钱 | 支付成功 | 4500000189202605265180071115 | 896_202605268662181502886363 | /</t>
        </is>
      </c>
    </row>
    <row r="65">
      <c r="A65" t="inlineStr">
        <is>
          <t>2026-05-26</t>
        </is>
      </c>
      <c r="B65" t="inlineStr">
        <is>
          <t>微信</t>
        </is>
      </c>
      <c r="C65" t="inlineStr">
        <is>
          <t>收入</t>
        </is>
      </c>
      <c r="D65" t="n">
        <v>3900</v>
      </c>
      <c r="E65" t="inlineStr">
        <is>
          <t>待分类</t>
        </is>
      </c>
      <c r="F65" t="inlineStr">
        <is>
          <t>应东林 (应东林) / 转账备注:微信转账 / 已存入零钱</t>
        </is>
      </c>
      <c r="G65" t="inlineStr">
        <is>
          <t>账单导入/2026-07-05/extracted/微信/微信支付账单流水文件(20260405-20260705)——【解压密码可在微信支付公众号查看】.xlsx</t>
        </is>
      </c>
      <c r="H65" t="inlineStr">
        <is>
          <t>中</t>
        </is>
      </c>
      <c r="I65" t="inlineStr">
        <is>
          <t>个人/公司归属不明确，请确认</t>
        </is>
      </c>
      <c r="J65" t="inlineStr">
        <is>
          <t>待确认</t>
        </is>
      </c>
      <c r="K65" t="inlineStr"/>
      <c r="L65" t="inlineStr">
        <is>
          <t>171a7952f9a76afc</t>
        </is>
      </c>
      <c r="M65" t="inlineStr">
        <is>
          <t>20260705-174222-auto-bills</t>
        </is>
      </c>
      <c r="N65" t="inlineStr">
        <is>
          <t>2026-05-26 21:18:41 | 转账 | 应东林 (应东林) | 转账备注:微信转账 | 收入 | 3900 | / | 已存入零钱 | 1000050001202605260533993939230 | / | /</t>
        </is>
      </c>
    </row>
    <row r="66">
      <c r="A66" t="inlineStr">
        <is>
          <t>2026-05-27</t>
        </is>
      </c>
      <c r="B66" t="inlineStr">
        <is>
          <t>微信</t>
        </is>
      </c>
      <c r="C66" t="inlineStr">
        <is>
          <t>支出</t>
        </is>
      </c>
      <c r="D66" t="n">
        <v>9.9</v>
      </c>
      <c r="E66" t="inlineStr">
        <is>
          <t>待分类</t>
        </is>
      </c>
      <c r="F66" t="inlineStr">
        <is>
          <t>luckin coffee / 订单付款 / 支付成功</t>
        </is>
      </c>
      <c r="G66" t="inlineStr">
        <is>
          <t>账单导入/2026-07-05/extracted/微信/微信支付账单流水文件(20260405-20260705)——【解压密码可在微信支付公众号查看】.xlsx</t>
        </is>
      </c>
      <c r="H66" t="inlineStr">
        <is>
          <t>中</t>
        </is>
      </c>
      <c r="I66" t="inlineStr">
        <is>
          <t>个人/公司归属不明确，请确认</t>
        </is>
      </c>
      <c r="J66" t="inlineStr">
        <is>
          <t>待确认</t>
        </is>
      </c>
      <c r="K66" t="inlineStr"/>
      <c r="L66" t="inlineStr">
        <is>
          <t>c4b9cebb0f40868d</t>
        </is>
      </c>
      <c r="M66" t="inlineStr">
        <is>
          <t>20260705-174222-auto-bills</t>
        </is>
      </c>
      <c r="N66" t="inlineStr">
        <is>
          <t>2026-05-27 07:10:13 | 商户消费 | luckin coffee | 订单付款 | 支出 | 9.9 | 零钱 | 支付成功 | 4500000189202605274047461031 | 10119442839854581760 | /</t>
        </is>
      </c>
    </row>
    <row r="67">
      <c r="A67" t="inlineStr">
        <is>
          <t>2026-05-27</t>
        </is>
      </c>
      <c r="B67" t="inlineStr">
        <is>
          <t>微信</t>
        </is>
      </c>
      <c r="C67" t="inlineStr">
        <is>
          <t>支出</t>
        </is>
      </c>
      <c r="D67" t="n">
        <v>18.5</v>
      </c>
      <c r="E67" t="inlineStr">
        <is>
          <t>待分类</t>
        </is>
      </c>
      <c r="F67" t="inlineStr">
        <is>
          <t>长红饼业 / 长红饼业 / 支付成功</t>
        </is>
      </c>
      <c r="G67" t="inlineStr">
        <is>
          <t>账单导入/2026-07-05/extracted/微信/微信支付账单流水文件(20260405-20260705)——【解压密码可在微信支付公众号查看】.xlsx</t>
        </is>
      </c>
      <c r="H67" t="inlineStr">
        <is>
          <t>中</t>
        </is>
      </c>
      <c r="I67" t="inlineStr">
        <is>
          <t>个人/公司归属不明确，请确认</t>
        </is>
      </c>
      <c r="J67" t="inlineStr">
        <is>
          <t>待确认</t>
        </is>
      </c>
      <c r="K67" t="inlineStr"/>
      <c r="L67" t="inlineStr">
        <is>
          <t>6df68dce29538afb</t>
        </is>
      </c>
      <c r="M67" t="inlineStr">
        <is>
          <t>20260705-174222-auto-bills</t>
        </is>
      </c>
      <c r="N67" t="inlineStr">
        <is>
          <t>2026-05-27 07:08:50 | 商户消费 | 长红饼业 | 长红饼业 | 支出 | 18.5 | 零钱 | 支付成功 | 4500000221202605271147428259 | 440254415208000062605270954244 | /</t>
        </is>
      </c>
    </row>
    <row r="68">
      <c r="A68" t="inlineStr">
        <is>
          <t>2026-05-27</t>
        </is>
      </c>
      <c r="B68" t="inlineStr">
        <is>
          <t>微信</t>
        </is>
      </c>
      <c r="C68" t="inlineStr">
        <is>
          <t>支出</t>
        </is>
      </c>
      <c r="D68" t="n">
        <v>30</v>
      </c>
      <c r="E68" t="inlineStr">
        <is>
          <t>待分类</t>
        </is>
      </c>
      <c r="F68" t="inlineStr">
        <is>
          <t>爱吃DQ的仓鼠🐹 (爱吃DQ的仓鼠🐹) / 转账备注:云朵天空胶水 / 对方已收钱</t>
        </is>
      </c>
      <c r="G68" t="inlineStr">
        <is>
          <t>账单导入/2026-07-05/extracted/微信/微信支付账单流水文件(20260405-20260705)——【解压密码可在微信支付公众号查看】.xlsx</t>
        </is>
      </c>
      <c r="H68" t="inlineStr">
        <is>
          <t>中</t>
        </is>
      </c>
      <c r="I68" t="inlineStr">
        <is>
          <t>个人/公司归属不明确，请确认</t>
        </is>
      </c>
      <c r="J68" t="inlineStr">
        <is>
          <t>待确认</t>
        </is>
      </c>
      <c r="K68" t="inlineStr"/>
      <c r="L68" t="inlineStr">
        <is>
          <t>f0fcdc91673d7ae9</t>
        </is>
      </c>
      <c r="M68" t="inlineStr">
        <is>
          <t>20260705-174222-auto-bills</t>
        </is>
      </c>
      <c r="N68" t="inlineStr">
        <is>
          <t>2026-05-27 06:44:31 | 转账 | 爱吃DQ的仓鼠🐹 (爱吃DQ的仓鼠🐹) | 转账备注:云朵天空胶水 | 支出 | 30 | 零钱 | 对方已收钱 | 53010002850015202605271784594207 | 1000050001202605270239292345881 | /</t>
        </is>
      </c>
    </row>
    <row r="69">
      <c r="A69" t="inlineStr">
        <is>
          <t>2026-05-27</t>
        </is>
      </c>
      <c r="B69" t="inlineStr">
        <is>
          <t>微信</t>
        </is>
      </c>
      <c r="C69" t="inlineStr">
        <is>
          <t>支出</t>
        </is>
      </c>
      <c r="D69" t="n">
        <v>30</v>
      </c>
      <c r="E69" t="inlineStr">
        <is>
          <t>待分类</t>
        </is>
      </c>
      <c r="F69" t="inlineStr">
        <is>
          <t>遇上更好的自已 / / / 支付成功</t>
        </is>
      </c>
      <c r="G69" t="inlineStr">
        <is>
          <t>账单导入/2026-07-05/extracted/微信/微信支付账单流水文件(20260405-20260705)——【解压密码可在微信支付公众号查看】.xlsx</t>
        </is>
      </c>
      <c r="H69" t="inlineStr">
        <is>
          <t>中</t>
        </is>
      </c>
      <c r="I69" t="inlineStr">
        <is>
          <t>个人/公司归属不明确，请确认</t>
        </is>
      </c>
      <c r="J69" t="inlineStr">
        <is>
          <t>待确认</t>
        </is>
      </c>
      <c r="K69" t="inlineStr"/>
      <c r="L69" t="inlineStr">
        <is>
          <t>6c742c1f53ade85f</t>
        </is>
      </c>
      <c r="M69" t="inlineStr">
        <is>
          <t>20260705-174222-auto-bills</t>
        </is>
      </c>
      <c r="N69" t="inlineStr">
        <is>
          <t>2026-05-27 13:07:31 | 商户消费 | 遇上更好的自已 | / | 支出 | 30 | 零钱 | 支付成功 | 4500000210202605272564161759 | 10359836481817798584460111756500 | /</t>
        </is>
      </c>
    </row>
    <row r="70">
      <c r="A70" t="inlineStr">
        <is>
          <t>2026-05-27</t>
        </is>
      </c>
      <c r="B70" t="inlineStr">
        <is>
          <t>微信</t>
        </is>
      </c>
      <c r="C70" t="inlineStr">
        <is>
          <t>收入</t>
        </is>
      </c>
      <c r="D70" t="n">
        <v>160</v>
      </c>
      <c r="E70" t="inlineStr">
        <is>
          <t>待分类</t>
        </is>
      </c>
      <c r="F70" t="inlineStr">
        <is>
          <t>A7^电脑回收^ (A7^电脑回收^) / 转账备注:微信转账 / 已存入零钱</t>
        </is>
      </c>
      <c r="G70" t="inlineStr">
        <is>
          <t>账单导入/2026-07-05/extracted/微信/微信支付账单流水文件(20260405-20260705)——【解压密码可在微信支付公众号查看】.xlsx</t>
        </is>
      </c>
      <c r="H70" t="inlineStr">
        <is>
          <t>中</t>
        </is>
      </c>
      <c r="I70" t="inlineStr">
        <is>
          <t>个人/公司归属不明确，请确认</t>
        </is>
      </c>
      <c r="J70" t="inlineStr">
        <is>
          <t>待确认</t>
        </is>
      </c>
      <c r="K70" t="inlineStr"/>
      <c r="L70" t="inlineStr">
        <is>
          <t>463a268fe70d40d4</t>
        </is>
      </c>
      <c r="M70" t="inlineStr">
        <is>
          <t>20260705-174222-auto-bills</t>
        </is>
      </c>
      <c r="N70" t="inlineStr">
        <is>
          <t>2026-05-27 15:18:47 | 转账 | A7^电脑回收^ (A7^电脑回收^) | 转账备注:微信转账 | 收入 | 160 | / | 已存入零钱 | 1000050001202605270739073984312 | / | /</t>
        </is>
      </c>
    </row>
    <row r="71">
      <c r="A71" t="inlineStr">
        <is>
          <t>2026-05-27</t>
        </is>
      </c>
      <c r="B71" t="inlineStr">
        <is>
          <t>招商银行</t>
        </is>
      </c>
      <c r="C71" t="inlineStr">
        <is>
          <t>支出</t>
        </is>
      </c>
      <c r="D71" t="n">
        <v>1</v>
      </c>
      <c r="E71" t="inlineStr">
        <is>
          <t>待分类</t>
        </is>
      </c>
      <c r="F71" t="inlineStr">
        <is>
          <t>CNY -  快捷支付 吴文凯</t>
        </is>
      </c>
      <c r="G71" t="inlineStr">
        <is>
          <t>账单导入/2026-07-05/extracted/招商银行/招商银行交易流水(申请时间2026年07月05日15时41分46秒).pdf</t>
        </is>
      </c>
      <c r="H71" t="inlineStr">
        <is>
          <t>中</t>
        </is>
      </c>
      <c r="I71" t="inlineStr">
        <is>
          <t>个人/公司归属不明确，请确认</t>
        </is>
      </c>
      <c r="J71" t="inlineStr">
        <is>
          <t>待确认</t>
        </is>
      </c>
      <c r="K71" t="inlineStr"/>
      <c r="L71" t="inlineStr">
        <is>
          <t>2f10436ea53a2d97</t>
        </is>
      </c>
      <c r="M71" t="inlineStr">
        <is>
          <t>20260705-174222-auto-bills</t>
        </is>
      </c>
      <c r="N71" t="inlineStr">
        <is>
          <t>2026-05-27 CNY -1.00 5,638.31 快捷支付 吴文凯</t>
        </is>
      </c>
    </row>
    <row r="72">
      <c r="A72" t="inlineStr">
        <is>
          <t>2026-05-28</t>
        </is>
      </c>
      <c r="B72" t="inlineStr">
        <is>
          <t>微信</t>
        </is>
      </c>
      <c r="C72" t="inlineStr">
        <is>
          <t>成本</t>
        </is>
      </c>
      <c r="D72" t="n">
        <v>23.92</v>
      </c>
      <c r="E72" t="inlineStr">
        <is>
          <t>购买费用</t>
        </is>
      </c>
      <c r="F72" t="inlineStr">
        <is>
          <t>拼多多平台商户 / 先用后付 / 支付成功</t>
        </is>
      </c>
      <c r="G72" t="inlineStr">
        <is>
          <t>账单导入/2026-07-05/extracted/微信/微信支付账单流水文件(20260405-20260705)——【解压密码可在微信支付公众号查看】.xlsx</t>
        </is>
      </c>
      <c r="H72" t="inlineStr">
        <is>
          <t>中</t>
        </is>
      </c>
      <c r="I72" t="inlineStr">
        <is>
          <t>疑似公司交易，请确认用途</t>
        </is>
      </c>
      <c r="J72" t="inlineStr">
        <is>
          <t>待确认</t>
        </is>
      </c>
      <c r="K72" t="inlineStr"/>
      <c r="L72" t="inlineStr">
        <is>
          <t>9124489660ee66e1</t>
        </is>
      </c>
      <c r="M72" t="inlineStr">
        <is>
          <t>20260705-174222-auto-bills</t>
        </is>
      </c>
      <c r="N72" t="inlineStr">
        <is>
          <t>2026-05-28 14:56:15 | 商户消费 | 拼多多平台商户 | 先用后付 | 支出 | 23.92 | 招商银行信用卡(1439) | 支付成功 | 4200003132202605289742627240 | OhbuY5QaxGR23gx9UkN-_CxxxxP_cNyx | /</t>
        </is>
      </c>
    </row>
    <row r="73">
      <c r="A73" t="inlineStr">
        <is>
          <t>2026-05-28</t>
        </is>
      </c>
      <c r="B73" t="inlineStr">
        <is>
          <t>微信</t>
        </is>
      </c>
      <c r="C73" t="inlineStr">
        <is>
          <t>支出</t>
        </is>
      </c>
      <c r="D73" t="n">
        <v>36</v>
      </c>
      <c r="E73" t="inlineStr">
        <is>
          <t>待分类</t>
        </is>
      </c>
      <c r="F73" t="inlineStr">
        <is>
          <t>遇上更好的自已 / / / 支付成功</t>
        </is>
      </c>
      <c r="G73" t="inlineStr">
        <is>
          <t>账单导入/2026-07-05/extracted/微信/微信支付账单流水文件(20260405-20260705)——【解压密码可在微信支付公众号查看】.xlsx</t>
        </is>
      </c>
      <c r="H73" t="inlineStr">
        <is>
          <t>中</t>
        </is>
      </c>
      <c r="I73" t="inlineStr">
        <is>
          <t>个人/公司归属不明确，请确认</t>
        </is>
      </c>
      <c r="J73" t="inlineStr">
        <is>
          <t>待确认</t>
        </is>
      </c>
      <c r="K73" t="inlineStr"/>
      <c r="L73" t="inlineStr">
        <is>
          <t>5d8599b686e6cfd2</t>
        </is>
      </c>
      <c r="M73" t="inlineStr">
        <is>
          <t>20260705-174222-auto-bills</t>
        </is>
      </c>
      <c r="N73" t="inlineStr">
        <is>
          <t>2026-05-28 11:16:40 | 商户消费 | 遇上更好的自已 | / | 支出 | 36 | 零钱 | 支付成功 | 4500000172202605282130014737 | 10359841767817799381940147070301 | /</t>
        </is>
      </c>
    </row>
    <row r="74">
      <c r="A74" t="inlineStr">
        <is>
          <t>2026-05-28</t>
        </is>
      </c>
      <c r="B74" t="inlineStr">
        <is>
          <t>微信</t>
        </is>
      </c>
      <c r="C74" t="inlineStr">
        <is>
          <t>收入</t>
        </is>
      </c>
      <c r="D74" t="n">
        <v>40</v>
      </c>
      <c r="E74" t="inlineStr">
        <is>
          <t>待分类</t>
        </is>
      </c>
      <c r="F74" t="inlineStr">
        <is>
          <t>晴天 (晴天) / 收款方备注:二维码收款 / 已转账</t>
        </is>
      </c>
      <c r="G74" t="inlineStr">
        <is>
          <t>账单导入/2026-07-05/extracted/微信/微信支付账单流水文件(20260405-20260705)——【解压密码可在微信支付公众号查看】.xlsx</t>
        </is>
      </c>
      <c r="H74" t="inlineStr">
        <is>
          <t>中</t>
        </is>
      </c>
      <c r="I74" t="inlineStr">
        <is>
          <t>个人/公司归属不明确，请确认</t>
        </is>
      </c>
      <c r="J74" t="inlineStr">
        <is>
          <t>待确认</t>
        </is>
      </c>
      <c r="K74" t="inlineStr"/>
      <c r="L74" t="inlineStr">
        <is>
          <t>69ecd033fc63f963</t>
        </is>
      </c>
      <c r="M74" t="inlineStr">
        <is>
          <t>20260705-174222-auto-bills</t>
        </is>
      </c>
      <c r="N74" t="inlineStr">
        <is>
          <t>2026-05-28 09:51:23 | 扫二维码付款 | 晴天 (晴天) | 收款方备注:二维码收款 | 支出 | 40 | 零钱 | 已转账 | 53110001894020202605280137047228 | 10001073012026052801770381205640 | /</t>
        </is>
      </c>
    </row>
    <row r="75">
      <c r="A75" t="inlineStr">
        <is>
          <t>2026-05-29</t>
        </is>
      </c>
      <c r="B75" t="inlineStr">
        <is>
          <t>微信</t>
        </is>
      </c>
      <c r="C75" t="inlineStr">
        <is>
          <t>退款</t>
        </is>
      </c>
      <c r="D75" t="n">
        <v>7.7</v>
      </c>
      <c r="E75" t="inlineStr">
        <is>
          <t>待分类</t>
        </is>
      </c>
      <c r="F75" t="inlineStr">
        <is>
          <t>成都罗森便利店 / 成都罗森便利店 / 已全额退款</t>
        </is>
      </c>
      <c r="G75" t="inlineStr">
        <is>
          <t>账单导入/2026-07-05/extracted/微信/微信支付账单流水文件(20260405-20260705)——【解压密码可在微信支付公众号查看】.xlsx</t>
        </is>
      </c>
      <c r="H75" t="inlineStr">
        <is>
          <t>中</t>
        </is>
      </c>
      <c r="I75" t="inlineStr">
        <is>
          <t>疑似个人交易，请确认是否排除</t>
        </is>
      </c>
      <c r="J75" t="inlineStr">
        <is>
          <t>待确认</t>
        </is>
      </c>
      <c r="K75" t="inlineStr"/>
      <c r="L75" t="inlineStr">
        <is>
          <t>c3ff7306d74ef452</t>
        </is>
      </c>
      <c r="M75" t="inlineStr">
        <is>
          <t>20260705-174222-auto-bills</t>
        </is>
      </c>
      <c r="N75" t="inlineStr">
        <is>
          <t>2026-05-29 13:30:11 | 成都罗森便利店-退款 | 成都罗森便利店 | 成都罗森便利店 | 收入 | 7.7 | 零钱 | 已全额退款 | 50301407592026052952826248433 |  | /</t>
        </is>
      </c>
    </row>
    <row r="76">
      <c r="A76" t="inlineStr">
        <is>
          <t>2026-05-29</t>
        </is>
      </c>
      <c r="B76" t="inlineStr">
        <is>
          <t>微信</t>
        </is>
      </c>
      <c r="C76" t="inlineStr">
        <is>
          <t>退款</t>
        </is>
      </c>
      <c r="D76" t="n">
        <v>7.7</v>
      </c>
      <c r="E76" t="inlineStr">
        <is>
          <t>待分类</t>
        </is>
      </c>
      <c r="F76" t="inlineStr">
        <is>
          <t>罗森 / 成都罗森东恒国际店消费 / 已全额退款</t>
        </is>
      </c>
      <c r="G76" t="inlineStr">
        <is>
          <t>账单导入/2026-07-05/extracted/微信/微信支付账单流水文件(20260405-20260705)——【解压密码可在微信支付公众号查看】.xlsx</t>
        </is>
      </c>
      <c r="H76" t="inlineStr">
        <is>
          <t>中</t>
        </is>
      </c>
      <c r="I76" t="inlineStr">
        <is>
          <t>个人/公司归属不明确，请确认</t>
        </is>
      </c>
      <c r="J76" t="inlineStr">
        <is>
          <t>待确认</t>
        </is>
      </c>
      <c r="K76" t="inlineStr"/>
      <c r="L76" t="inlineStr">
        <is>
          <t>8dbfd01d64273d54</t>
        </is>
      </c>
      <c r="M76" t="inlineStr">
        <is>
          <t>20260705-174222-auto-bills</t>
        </is>
      </c>
      <c r="N76" t="inlineStr">
        <is>
          <t>2026-05-29 13:29:07 | 商户消费 | 罗森 | 成都罗森东恒国际店消费 | 支出 | 7.7 | 零钱 | 已全额退款 | 4200003118202605290156714470 | 752797721988 | /</t>
        </is>
      </c>
    </row>
    <row r="77">
      <c r="A77" t="inlineStr">
        <is>
          <t>2026-05-29</t>
        </is>
      </c>
      <c r="B77" t="inlineStr">
        <is>
          <t>微信</t>
        </is>
      </c>
      <c r="C77" t="inlineStr">
        <is>
          <t>支出</t>
        </is>
      </c>
      <c r="D77" t="n">
        <v>7.7</v>
      </c>
      <c r="E77" t="inlineStr">
        <is>
          <t>待分类</t>
        </is>
      </c>
      <c r="F77" t="inlineStr">
        <is>
          <t>罗森 / 成都罗森东恒国际店消费 / 支付成功</t>
        </is>
      </c>
      <c r="G77" t="inlineStr">
        <is>
          <t>账单导入/2026-07-05/extracted/微信/微信支付账单流水文件(20260405-20260705)——【解压密码可在微信支付公众号查看】.xlsx</t>
        </is>
      </c>
      <c r="H77" t="inlineStr">
        <is>
          <t>中</t>
        </is>
      </c>
      <c r="I77" t="inlineStr">
        <is>
          <t>个人/公司归属不明确，请确认</t>
        </is>
      </c>
      <c r="J77" t="inlineStr">
        <is>
          <t>待确认</t>
        </is>
      </c>
      <c r="K77" t="inlineStr"/>
      <c r="L77" t="inlineStr">
        <is>
          <t>15b7866d158276e8</t>
        </is>
      </c>
      <c r="M77" t="inlineStr">
        <is>
          <t>20260705-174222-auto-bills</t>
        </is>
      </c>
      <c r="N77" t="inlineStr">
        <is>
          <t>2026-05-29 13:30:20 | 商户消费 | 罗森 | 成都罗森东恒国际店消费 | 支出 | 7.7 | 零钱 | 支付成功 | 4200003044202605294543493954 | 752795968388 | /</t>
        </is>
      </c>
    </row>
    <row r="78">
      <c r="A78" t="inlineStr">
        <is>
          <t>2026-05-29</t>
        </is>
      </c>
      <c r="B78" t="inlineStr">
        <is>
          <t>微信</t>
        </is>
      </c>
      <c r="C78" t="inlineStr">
        <is>
          <t>支出</t>
        </is>
      </c>
      <c r="D78" t="n">
        <v>18</v>
      </c>
      <c r="E78" t="inlineStr">
        <is>
          <t>待分类</t>
        </is>
      </c>
      <c r="F78" t="inlineStr">
        <is>
          <t>遇上更好的自已 / / / 支付成功</t>
        </is>
      </c>
      <c r="G78" t="inlineStr">
        <is>
          <t>账单导入/2026-07-05/extracted/微信/微信支付账单流水文件(20260405-20260705)——【解压密码可在微信支付公众号查看】.xlsx</t>
        </is>
      </c>
      <c r="H78" t="inlineStr">
        <is>
          <t>中</t>
        </is>
      </c>
      <c r="I78" t="inlineStr">
        <is>
          <t>个人/公司归属不明确，请确认</t>
        </is>
      </c>
      <c r="J78" t="inlineStr">
        <is>
          <t>待确认</t>
        </is>
      </c>
      <c r="K78" t="inlineStr"/>
      <c r="L78" t="inlineStr">
        <is>
          <t>ee1d3205c72ff3aa</t>
        </is>
      </c>
      <c r="M78" t="inlineStr">
        <is>
          <t>20260705-174222-auto-bills</t>
        </is>
      </c>
      <c r="N78" t="inlineStr">
        <is>
          <t>2026-05-29 13:10:09 | 商户消费 | 遇上更好的自已 | / | 支出 | 18 | 零钱 | 支付成功 | 4500000207202605292681553618 | 10359804600717800314030121652901 | /</t>
        </is>
      </c>
    </row>
    <row r="79">
      <c r="A79" t="inlineStr">
        <is>
          <t>2026-05-29</t>
        </is>
      </c>
      <c r="B79" t="inlineStr">
        <is>
          <t>微信</t>
        </is>
      </c>
      <c r="C79" t="inlineStr">
        <is>
          <t>收入</t>
        </is>
      </c>
      <c r="D79" t="n">
        <v>120</v>
      </c>
      <c r="E79" t="inlineStr">
        <is>
          <t>待分类</t>
        </is>
      </c>
      <c r="F79" t="inlineStr">
        <is>
          <t>应东林 (应东林) / 转账备注:微信转账 / 已存入零钱</t>
        </is>
      </c>
      <c r="G79" t="inlineStr">
        <is>
          <t>账单导入/2026-07-05/extracted/微信/微信支付账单流水文件(20260405-20260705)——【解压密码可在微信支付公众号查看】.xlsx</t>
        </is>
      </c>
      <c r="H79" t="inlineStr">
        <is>
          <t>中</t>
        </is>
      </c>
      <c r="I79" t="inlineStr">
        <is>
          <t>个人/公司归属不明确，请确认</t>
        </is>
      </c>
      <c r="J79" t="inlineStr">
        <is>
          <t>待确认</t>
        </is>
      </c>
      <c r="K79" t="inlineStr"/>
      <c r="L79" t="inlineStr">
        <is>
          <t>820a799c59dc8acb</t>
        </is>
      </c>
      <c r="M79" t="inlineStr">
        <is>
          <t>20260705-174222-auto-bills</t>
        </is>
      </c>
      <c r="N79" t="inlineStr">
        <is>
          <t>2026-05-29 23:54:09 | 转账 | 应东林 (应东林) | 转账备注:微信转账 | 收入 | 120 | / | 已存入零钱 | 1000050001202605290335957542866 | / | /</t>
        </is>
      </c>
    </row>
    <row r="80">
      <c r="A80" t="inlineStr">
        <is>
          <t>2026-05-29</t>
        </is>
      </c>
      <c r="B80" t="inlineStr">
        <is>
          <t>微信</t>
        </is>
      </c>
      <c r="C80" t="inlineStr">
        <is>
          <t>支出</t>
        </is>
      </c>
      <c r="D80" t="n">
        <v>900</v>
      </c>
      <c r="E80" t="inlineStr">
        <is>
          <t>待分类</t>
        </is>
      </c>
      <c r="F80" t="inlineStr">
        <is>
          <t>应东林 (应东林) / 转账备注:2070 / 对方已收钱</t>
        </is>
      </c>
      <c r="G80" t="inlineStr">
        <is>
          <t>账单导入/2026-07-05/extracted/微信/微信支付账单流水文件(20260405-20260705)——【解压密码可在微信支付公众号查看】.xlsx</t>
        </is>
      </c>
      <c r="H80" t="inlineStr">
        <is>
          <t>中</t>
        </is>
      </c>
      <c r="I80" t="inlineStr">
        <is>
          <t>个人/公司归属不明确，请确认</t>
        </is>
      </c>
      <c r="J80" t="inlineStr">
        <is>
          <t>待确认</t>
        </is>
      </c>
      <c r="K80" t="inlineStr"/>
      <c r="L80" t="inlineStr">
        <is>
          <t>c524353d1b8ef793</t>
        </is>
      </c>
      <c r="M80" t="inlineStr">
        <is>
          <t>20260705-174222-auto-bills</t>
        </is>
      </c>
      <c r="N80" t="inlineStr">
        <is>
          <t>2026-05-29 22:59:08 | 转账 | 应东林 (应东林) | 转账备注:2070 | 支出 | 900 | 零钱 | 对方已收钱 | 53010003079140202605293329989743 | 1000050001202605290432701511243 | /</t>
        </is>
      </c>
    </row>
    <row r="81">
      <c r="A81" t="inlineStr">
        <is>
          <t>2026-05-30</t>
        </is>
      </c>
      <c r="B81" t="inlineStr">
        <is>
          <t>微信</t>
        </is>
      </c>
      <c r="C81" t="inlineStr">
        <is>
          <t>支出</t>
        </is>
      </c>
      <c r="D81" t="n">
        <v>20</v>
      </c>
      <c r="E81" t="inlineStr">
        <is>
          <t>待分类</t>
        </is>
      </c>
      <c r="F81" t="inlineStr">
        <is>
          <t>半梦桃花开 / / / 支付成功</t>
        </is>
      </c>
      <c r="G81" t="inlineStr">
        <is>
          <t>账单导入/2026-07-05/extracted/微信/微信支付账单流水文件(20260405-20260705)——【解压密码可在微信支付公众号查看】.xlsx</t>
        </is>
      </c>
      <c r="H81" t="inlineStr">
        <is>
          <t>中</t>
        </is>
      </c>
      <c r="I81" t="inlineStr">
        <is>
          <t>个人/公司归属不明确，请确认</t>
        </is>
      </c>
      <c r="J81" t="inlineStr">
        <is>
          <t>待确认</t>
        </is>
      </c>
      <c r="K81" t="inlineStr"/>
      <c r="L81" t="inlineStr">
        <is>
          <t>65a67f3726bcc5d5</t>
        </is>
      </c>
      <c r="M81" t="inlineStr">
        <is>
          <t>20260705-174222-auto-bills</t>
        </is>
      </c>
      <c r="N81" t="inlineStr">
        <is>
          <t>2026-05-30 20:25:36 | 商户消费 | 半梦桃花开 | / | 支出 | 20 | 零钱 | 支付成功 | 4500000219202605304877950439 | 10359806455017801439300172560100 | /</t>
        </is>
      </c>
    </row>
    <row r="82">
      <c r="A82" t="inlineStr">
        <is>
          <t>2026-05-30</t>
        </is>
      </c>
      <c r="B82" t="inlineStr">
        <is>
          <t>微信</t>
        </is>
      </c>
      <c r="C82" t="inlineStr">
        <is>
          <t>支出</t>
        </is>
      </c>
      <c r="D82" t="n">
        <v>22</v>
      </c>
      <c r="E82" t="inlineStr">
        <is>
          <t>待分类</t>
        </is>
      </c>
      <c r="F82" t="inlineStr">
        <is>
          <t>老牛鸳鸯抄手 / 老牛鸳鸯抄手 / 支付成功</t>
        </is>
      </c>
      <c r="G82" t="inlineStr">
        <is>
          <t>账单导入/2026-07-05/extracted/微信/微信支付账单流水文件(20260405-20260705)——【解压密码可在微信支付公众号查看】.xlsx</t>
        </is>
      </c>
      <c r="H82" t="inlineStr">
        <is>
          <t>中</t>
        </is>
      </c>
      <c r="I82" t="inlineStr">
        <is>
          <t>个人/公司归属不明确，请确认</t>
        </is>
      </c>
      <c r="J82" t="inlineStr">
        <is>
          <t>待确认</t>
        </is>
      </c>
      <c r="K82" t="inlineStr"/>
      <c r="L82" t="inlineStr">
        <is>
          <t>7c396ade51a4ab5c</t>
        </is>
      </c>
      <c r="M82" t="inlineStr">
        <is>
          <t>20260705-174222-auto-bills</t>
        </is>
      </c>
      <c r="N82" t="inlineStr">
        <is>
          <t>2026-05-30 19:51:47 | 商户消费 | 老牛鸳鸯抄手 | 老牛鸳鸯抄手 | 支出 | 22 | 零钱 | 支付成功 | 4200003103202605308302746140 | 7895214720434207 | /</t>
        </is>
      </c>
    </row>
    <row r="83">
      <c r="A83" t="inlineStr">
        <is>
          <t>2026-05-30</t>
        </is>
      </c>
      <c r="B83" t="inlineStr">
        <is>
          <t>微信</t>
        </is>
      </c>
      <c r="C83" t="inlineStr">
        <is>
          <t>支出</t>
        </is>
      </c>
      <c r="D83" t="n">
        <v>27.7</v>
      </c>
      <c r="E83" t="inlineStr">
        <is>
          <t>待分类</t>
        </is>
      </c>
      <c r="F83" t="inlineStr">
        <is>
          <t>罗森 / 成都罗森东恒国际店消费 / 支付成功</t>
        </is>
      </c>
      <c r="G83" t="inlineStr">
        <is>
          <t>账单导入/2026-07-05/extracted/微信/微信支付账单流水文件(20260405-20260705)——【解压密码可在微信支付公众号查看】.xlsx</t>
        </is>
      </c>
      <c r="H83" t="inlineStr">
        <is>
          <t>中</t>
        </is>
      </c>
      <c r="I83" t="inlineStr">
        <is>
          <t>个人/公司归属不明确，请确认</t>
        </is>
      </c>
      <c r="J83" t="inlineStr">
        <is>
          <t>待确认</t>
        </is>
      </c>
      <c r="K83" t="inlineStr"/>
      <c r="L83" t="inlineStr">
        <is>
          <t>2cedd6c761e8e174</t>
        </is>
      </c>
      <c r="M83" t="inlineStr">
        <is>
          <t>20260705-174222-auto-bills</t>
        </is>
      </c>
      <c r="N83" t="inlineStr">
        <is>
          <t>2026-05-30 11:42:58 | 商户消费 | 罗森 | 成都罗森东恒国际店消费 | 支出 | 27.7 | 零钱 | 支付成功 | 4200003014202605301053050767 | 753100872188 | /</t>
        </is>
      </c>
    </row>
    <row r="84">
      <c r="A84" t="inlineStr">
        <is>
          <t>2026-05-30</t>
        </is>
      </c>
      <c r="B84" t="inlineStr">
        <is>
          <t>微信</t>
        </is>
      </c>
      <c r="C84" t="inlineStr">
        <is>
          <t>支出</t>
        </is>
      </c>
      <c r="D84" t="n">
        <v>200</v>
      </c>
      <c r="E84" t="inlineStr">
        <is>
          <t>待分类</t>
        </is>
      </c>
      <c r="F84" t="inlineStr">
        <is>
          <t>国家电网 / 电费 / 支付成功</t>
        </is>
      </c>
      <c r="G84" t="inlineStr">
        <is>
          <t>账单导入/2026-07-05/extracted/微信/微信支付账单流水文件(20260405-20260705)——【解压密码可在微信支付公众号查看】.xlsx</t>
        </is>
      </c>
      <c r="H84" t="inlineStr">
        <is>
          <t>中</t>
        </is>
      </c>
      <c r="I84" t="inlineStr">
        <is>
          <t>个人/公司归属不明确，请确认</t>
        </is>
      </c>
      <c r="J84" t="inlineStr">
        <is>
          <t>待确认</t>
        </is>
      </c>
      <c r="K84" t="inlineStr"/>
      <c r="L84" t="inlineStr">
        <is>
          <t>8d544def10fa5b0b</t>
        </is>
      </c>
      <c r="M84" t="inlineStr">
        <is>
          <t>20260705-174222-auto-bills</t>
        </is>
      </c>
      <c r="N84" t="inlineStr">
        <is>
          <t>2026-05-30 11:25:21 | 商户消费 | 国家电网 | 电费 | 支出 | 200 | 零钱 | 支付成功 | 4500000169202605305162107458 | 202605300101428448 | /</t>
        </is>
      </c>
    </row>
    <row r="85">
      <c r="A85" t="inlineStr">
        <is>
          <t>2026-05-30</t>
        </is>
      </c>
      <c r="B85" t="inlineStr">
        <is>
          <t>微信</t>
        </is>
      </c>
      <c r="C85" t="inlineStr">
        <is>
          <t>支出</t>
        </is>
      </c>
      <c r="D85" t="n">
        <v>500</v>
      </c>
      <c r="E85" t="inlineStr">
        <is>
          <t>待分类</t>
        </is>
      </c>
      <c r="F85" t="inlineStr">
        <is>
          <t>爸爸 (吴六松) / 转账备注:微信转账 / 对方已收钱</t>
        </is>
      </c>
      <c r="G85" t="inlineStr">
        <is>
          <t>账单导入/2026-07-05/extracted/微信/微信支付账单流水文件(20260405-20260705)——【解压密码可在微信支付公众号查看】.xlsx</t>
        </is>
      </c>
      <c r="H85" t="inlineStr">
        <is>
          <t>中</t>
        </is>
      </c>
      <c r="I85" t="inlineStr">
        <is>
          <t>个人/公司归属不明确，请确认</t>
        </is>
      </c>
      <c r="J85" t="inlineStr">
        <is>
          <t>待确认</t>
        </is>
      </c>
      <c r="K85" t="inlineStr"/>
      <c r="L85" t="inlineStr">
        <is>
          <t>795b4f95b5148009</t>
        </is>
      </c>
      <c r="M85" t="inlineStr">
        <is>
          <t>20260705-174222-auto-bills</t>
        </is>
      </c>
      <c r="N85" t="inlineStr">
        <is>
          <t>2026-05-30 19:11:52 | 转账 | 爸爸 (吴六松) | 转账备注:微信转账 | 支出 | 500 | 零钱 | 对方已收钱 | 53010003053150202605303573697374 | 1000050001202605300631698302250 | /</t>
        </is>
      </c>
    </row>
    <row r="86">
      <c r="A86" t="inlineStr">
        <is>
          <t>2026-05-30</t>
        </is>
      </c>
      <c r="B86" t="inlineStr">
        <is>
          <t>微信</t>
        </is>
      </c>
      <c r="C86" t="inlineStr">
        <is>
          <t>收入</t>
        </is>
      </c>
      <c r="D86" t="n">
        <v>1300</v>
      </c>
      <c r="E86" t="inlineStr">
        <is>
          <t>待分类</t>
        </is>
      </c>
      <c r="F86" t="inlineStr">
        <is>
          <t>333 (333) / 收款方备注:二维码收款 / 已转账</t>
        </is>
      </c>
      <c r="G86" t="inlineStr">
        <is>
          <t>账单导入/2026-07-05/extracted/微信/微信支付账单流水文件(20260405-20260705)——【解压密码可在微信支付公众号查看】.xlsx</t>
        </is>
      </c>
      <c r="H86" t="inlineStr">
        <is>
          <t>中</t>
        </is>
      </c>
      <c r="I86" t="inlineStr">
        <is>
          <t>个人/公司归属不明确，请确认</t>
        </is>
      </c>
      <c r="J86" t="inlineStr">
        <is>
          <t>待确认</t>
        </is>
      </c>
      <c r="K86" t="inlineStr"/>
      <c r="L86" t="inlineStr">
        <is>
          <t>6c5c35876f3ad8e2</t>
        </is>
      </c>
      <c r="M86" t="inlineStr">
        <is>
          <t>20260705-174222-auto-bills</t>
        </is>
      </c>
      <c r="N86" t="inlineStr">
        <is>
          <t>2026-05-30 18:31:24 | 扫二维码付款 | 333 (333) | 收款方备注:二维码收款 | 支出 | 1300 | 零钱 | 已转账 | 53110001863029202605304101063429 | 10001073012026053001342688925510 | /</t>
        </is>
      </c>
    </row>
    <row r="87">
      <c r="A87" t="inlineStr">
        <is>
          <t>2026-05-30</t>
        </is>
      </c>
      <c r="B87" t="inlineStr">
        <is>
          <t>微信</t>
        </is>
      </c>
      <c r="C87" t="inlineStr">
        <is>
          <t>支出</t>
        </is>
      </c>
      <c r="D87" t="n">
        <v>1303.9</v>
      </c>
      <c r="E87" t="inlineStr">
        <is>
          <t>待分类</t>
        </is>
      </c>
      <c r="F87" t="inlineStr">
        <is>
          <t>阿程房地产 / 房东佣金3157619 / 支付成功</t>
        </is>
      </c>
      <c r="G87" t="inlineStr">
        <is>
          <t>账单导入/2026-07-05/extracted/微信/微信支付账单流水文件(20260405-20260705)——【解压密码可在微信支付公众号查看】.xlsx</t>
        </is>
      </c>
      <c r="H87" t="inlineStr">
        <is>
          <t>中</t>
        </is>
      </c>
      <c r="I87" t="inlineStr">
        <is>
          <t>个人/公司归属不明确，请确认</t>
        </is>
      </c>
      <c r="J87" t="inlineStr">
        <is>
          <t>待确认</t>
        </is>
      </c>
      <c r="K87" t="inlineStr"/>
      <c r="L87" t="inlineStr">
        <is>
          <t>b28876439cdf6cdf</t>
        </is>
      </c>
      <c r="M87" t="inlineStr">
        <is>
          <t>20260705-174222-auto-bills</t>
        </is>
      </c>
      <c r="N87" t="inlineStr">
        <is>
          <t>2026-05-30 18:30:11 | 商户消费 | 阿程房地产 | 房东佣金3157619 | 支出 | 1303.9 | 零钱 | 支付成功 | 4500000198202605304102524011 | 02232605306660349416436 | /</t>
        </is>
      </c>
    </row>
    <row r="88">
      <c r="A88" t="inlineStr">
        <is>
          <t>2026-05-30</t>
        </is>
      </c>
      <c r="B88" t="inlineStr">
        <is>
          <t>微信</t>
        </is>
      </c>
      <c r="C88" t="inlineStr">
        <is>
          <t>收入</t>
        </is>
      </c>
      <c r="D88" t="n">
        <v>3000</v>
      </c>
      <c r="E88" t="inlineStr">
        <is>
          <t>待分类</t>
        </is>
      </c>
      <c r="F88" t="inlineStr">
        <is>
          <t>Dorothy (Dorothy) / 转账备注:微信转账 / 已存入零钱</t>
        </is>
      </c>
      <c r="G88" t="inlineStr">
        <is>
          <t>账单导入/2026-07-05/extracted/微信/微信支付账单流水文件(20260405-20260705)——【解压密码可在微信支付公众号查看】.xlsx</t>
        </is>
      </c>
      <c r="H88" t="inlineStr">
        <is>
          <t>中</t>
        </is>
      </c>
      <c r="I88" t="inlineStr">
        <is>
          <t>个人/公司归属不明确，请确认</t>
        </is>
      </c>
      <c r="J88" t="inlineStr">
        <is>
          <t>待确认</t>
        </is>
      </c>
      <c r="K88" t="inlineStr"/>
      <c r="L88" t="inlineStr">
        <is>
          <t>83d986bbd9f31d9a</t>
        </is>
      </c>
      <c r="M88" t="inlineStr">
        <is>
          <t>20260705-174222-auto-bills</t>
        </is>
      </c>
      <c r="N88" t="inlineStr">
        <is>
          <t>2026-05-30 19:00:30 | 转账 | Dorothy (Dorothy) | 转账备注:微信转账 | 收入 | 3000 | / | 已存入零钱 | 1000050001202605300424417263687 | / | /</t>
        </is>
      </c>
    </row>
    <row r="89">
      <c r="A89" t="inlineStr">
        <is>
          <t>2026-05-31</t>
        </is>
      </c>
      <c r="B89" t="inlineStr">
        <is>
          <t>微信</t>
        </is>
      </c>
      <c r="C89" t="inlineStr">
        <is>
          <t>收入</t>
        </is>
      </c>
      <c r="D89" t="n">
        <v>7</v>
      </c>
      <c r="E89" t="inlineStr">
        <is>
          <t>待分类</t>
        </is>
      </c>
      <c r="F89" t="inlineStr">
        <is>
          <t>A🌟17313106710 (A🌟17313106710) / 收款方备注:二维码收款 / 已收钱</t>
        </is>
      </c>
      <c r="G89" t="inlineStr">
        <is>
          <t>账单导入/2026-07-05/extracted/微信/微信支付账单流水文件(20260405-20260705)——【解压密码可在微信支付公众号查看】.xlsx</t>
        </is>
      </c>
      <c r="H89" t="inlineStr">
        <is>
          <t>中</t>
        </is>
      </c>
      <c r="I89" t="inlineStr">
        <is>
          <t>个人/公司归属不明确，请确认</t>
        </is>
      </c>
      <c r="J89" t="inlineStr">
        <is>
          <t>待确认</t>
        </is>
      </c>
      <c r="K89" t="inlineStr"/>
      <c r="L89" t="inlineStr">
        <is>
          <t>ccebb6eb719d2557</t>
        </is>
      </c>
      <c r="M89" t="inlineStr">
        <is>
          <t>20260705-174222-auto-bills</t>
        </is>
      </c>
      <c r="N89" t="inlineStr">
        <is>
          <t>2026-05-31 18:47:59 | 二维码收款 | A🌟17313106710 (A🌟17313106710) | 收款方备注:二维码收款 | 收入 | 7 | 零钱 | 已收钱 | 10001073012026053100229775147132 | / | /</t>
        </is>
      </c>
    </row>
    <row r="90">
      <c r="A90" t="inlineStr">
        <is>
          <t>2026-05-31</t>
        </is>
      </c>
      <c r="B90" t="inlineStr">
        <is>
          <t>微信</t>
        </is>
      </c>
      <c r="C90" t="inlineStr">
        <is>
          <t>收入</t>
        </is>
      </c>
      <c r="D90" t="n">
        <v>14</v>
      </c>
      <c r="E90" t="inlineStr">
        <is>
          <t>待分类</t>
        </is>
      </c>
      <c r="F90" t="inlineStr">
        <is>
          <t>李艳婷 / 收款方备注:二维码收款 / 已转账</t>
        </is>
      </c>
      <c r="G90" t="inlineStr">
        <is>
          <t>账单导入/2026-07-05/extracted/微信/微信支付账单流水文件(20260405-20260705)——【解压密码可在微信支付公众号查看】.xlsx</t>
        </is>
      </c>
      <c r="H90" t="inlineStr">
        <is>
          <t>中</t>
        </is>
      </c>
      <c r="I90" t="inlineStr">
        <is>
          <t>个人/公司归属不明确，请确认</t>
        </is>
      </c>
      <c r="J90" t="inlineStr">
        <is>
          <t>待确认</t>
        </is>
      </c>
      <c r="K90" t="inlineStr"/>
      <c r="L90" t="inlineStr">
        <is>
          <t>b964e8120b35cba5</t>
        </is>
      </c>
      <c r="M90" t="inlineStr">
        <is>
          <t>20260705-174222-auto-bills</t>
        </is>
      </c>
      <c r="N90" t="inlineStr">
        <is>
          <t>2026-05-31 10:09:54 | 扫二维码付款 | 李艳婷 | 收款方备注:二维码收款 | 支出 | 14 | 零钱 | 已转账 | 53110001662235202605312912522007 | 10001073012026053101211782893558 | /</t>
        </is>
      </c>
    </row>
    <row r="91">
      <c r="A91" t="inlineStr">
        <is>
          <t>2026-05-31</t>
        </is>
      </c>
      <c r="B91" t="inlineStr">
        <is>
          <t>微信</t>
        </is>
      </c>
      <c r="C91" t="inlineStr">
        <is>
          <t>收入</t>
        </is>
      </c>
      <c r="D91" t="n">
        <v>15</v>
      </c>
      <c r="E91" t="inlineStr">
        <is>
          <t>待分类</t>
        </is>
      </c>
      <c r="F91" t="inlineStr">
        <is>
          <t>未来的未来 (未来的未来) / 收款方备注:二维码收款 / 已转账</t>
        </is>
      </c>
      <c r="G91" t="inlineStr">
        <is>
          <t>账单导入/2026-07-05/extracted/微信/微信支付账单流水文件(20260405-20260705)——【解压密码可在微信支付公众号查看】.xlsx</t>
        </is>
      </c>
      <c r="H91" t="inlineStr">
        <is>
          <t>中</t>
        </is>
      </c>
      <c r="I91" t="inlineStr">
        <is>
          <t>个人/公司归属不明确，请确认</t>
        </is>
      </c>
      <c r="J91" t="inlineStr">
        <is>
          <t>待确认</t>
        </is>
      </c>
      <c r="K91" t="inlineStr"/>
      <c r="L91" t="inlineStr">
        <is>
          <t>03d03bd08e6fa49e</t>
        </is>
      </c>
      <c r="M91" t="inlineStr">
        <is>
          <t>20260705-174222-auto-bills</t>
        </is>
      </c>
      <c r="N91" t="inlineStr">
        <is>
          <t>2026-05-31 10:08:09 | 扫二维码付款 | 未来的未来 (未来的未来) | 收款方备注:二维码收款 | 支出 | 15 | 零钱 | 已转账 | 53110001685036202605312921651712 | 10001073012026053101031289997530 | /</t>
        </is>
      </c>
    </row>
    <row r="92">
      <c r="A92" t="inlineStr">
        <is>
          <t>2026-05-31</t>
        </is>
      </c>
      <c r="B92" t="inlineStr">
        <is>
          <t>微信</t>
        </is>
      </c>
      <c r="C92" t="inlineStr">
        <is>
          <t>收入</t>
        </is>
      </c>
      <c r="D92" t="n">
        <v>34</v>
      </c>
      <c r="E92" t="inlineStr">
        <is>
          <t>待分类</t>
        </is>
      </c>
      <c r="F92" t="inlineStr">
        <is>
          <t>A🌟17313106710 (A🌟17313106710) / 收款方备注:二维码收款 / 已收钱</t>
        </is>
      </c>
      <c r="G92" t="inlineStr">
        <is>
          <t>账单导入/2026-07-05/extracted/微信/微信支付账单流水文件(20260405-20260705)——【解压密码可在微信支付公众号查看】.xlsx</t>
        </is>
      </c>
      <c r="H92" t="inlineStr">
        <is>
          <t>中</t>
        </is>
      </c>
      <c r="I92" t="inlineStr">
        <is>
          <t>个人/公司归属不明确，请确认</t>
        </is>
      </c>
      <c r="J92" t="inlineStr">
        <is>
          <t>待确认</t>
        </is>
      </c>
      <c r="K92" t="inlineStr"/>
      <c r="L92" t="inlineStr">
        <is>
          <t>cebcc02effb9d936</t>
        </is>
      </c>
      <c r="M92" t="inlineStr">
        <is>
          <t>20260705-174222-auto-bills</t>
        </is>
      </c>
      <c r="N92" t="inlineStr">
        <is>
          <t>2026-05-31 18:44:33 | 二维码收款 | A🌟17313106710 (A🌟17313106710) | 收款方备注:二维码收款 | 收入 | 34 | 零钱 | 已收钱 | 10001073012026053100733598307123 | / | /</t>
        </is>
      </c>
    </row>
    <row r="93">
      <c r="A93" t="inlineStr">
        <is>
          <t>2026-05-31</t>
        </is>
      </c>
      <c r="B93" t="inlineStr">
        <is>
          <t>微信</t>
        </is>
      </c>
      <c r="C93" t="inlineStr">
        <is>
          <t>成本</t>
        </is>
      </c>
      <c r="D93" t="n">
        <v>122</v>
      </c>
      <c r="E93" t="inlineStr">
        <is>
          <t>购买费用</t>
        </is>
      </c>
      <c r="F93" t="inlineStr">
        <is>
          <t>潮叔烧烤 / 美团点餐 / 支付成功</t>
        </is>
      </c>
      <c r="G93" t="inlineStr">
        <is>
          <t>账单导入/2026-07-05/extracted/微信/微信支付账单流水文件(20260405-20260705)——【解压密码可在微信支付公众号查看】.xlsx</t>
        </is>
      </c>
      <c r="H93" t="inlineStr">
        <is>
          <t>中</t>
        </is>
      </c>
      <c r="I93" t="inlineStr">
        <is>
          <t>疑似公司交易，请确认用途</t>
        </is>
      </c>
      <c r="J93" t="inlineStr">
        <is>
          <t>待确认</t>
        </is>
      </c>
      <c r="K93" t="inlineStr"/>
      <c r="L93" t="inlineStr">
        <is>
          <t>a28acf9655da2b3b</t>
        </is>
      </c>
      <c r="M93" t="inlineStr">
        <is>
          <t>20260705-174222-auto-bills</t>
        </is>
      </c>
      <c r="N93" t="inlineStr">
        <is>
          <t>2026-05-31 22:31:09 | 商户消费 | 潮叔烧烤 | 美团点餐 | 支出 | 122 | 零钱 | 支付成功 | 4200003091202605315176017106 | 0461368606610029719408773 | /</t>
        </is>
      </c>
    </row>
    <row r="94">
      <c r="A94" t="inlineStr">
        <is>
          <t>2026-05-31</t>
        </is>
      </c>
      <c r="B94" t="inlineStr">
        <is>
          <t>微信</t>
        </is>
      </c>
      <c r="C94" t="inlineStr">
        <is>
          <t>支出</t>
        </is>
      </c>
      <c r="D94" t="n">
        <v>310</v>
      </c>
      <c r="E94" t="inlineStr">
        <is>
          <t>待分类</t>
        </is>
      </c>
      <c r="F94" t="inlineStr">
        <is>
          <t>应东林 (应东林) / 转账备注:微信转账 / 对方已收钱</t>
        </is>
      </c>
      <c r="G94" t="inlineStr">
        <is>
          <t>账单导入/2026-07-05/extracted/微信/微信支付账单流水文件(20260405-20260705)——【解压密码可在微信支付公众号查看】.xlsx</t>
        </is>
      </c>
      <c r="H94" t="inlineStr">
        <is>
          <t>中</t>
        </is>
      </c>
      <c r="I94" t="inlineStr">
        <is>
          <t>个人/公司归属不明确，请确认</t>
        </is>
      </c>
      <c r="J94" t="inlineStr">
        <is>
          <t>待确认</t>
        </is>
      </c>
      <c r="K94" t="inlineStr"/>
      <c r="L94" t="inlineStr">
        <is>
          <t>b007739bf163e68b</t>
        </is>
      </c>
      <c r="M94" t="inlineStr">
        <is>
          <t>20260705-174222-auto-bills</t>
        </is>
      </c>
      <c r="N94" t="inlineStr">
        <is>
          <t>2026-05-31 14:58:55 | 转账 | 应东林 (应东林) | 转账备注:微信转账 | 支出 | 310 | 零钱 | 对方已收钱 | 53010003049108202605313197425030 | 1000050001202605310332112946958 | /</t>
        </is>
      </c>
    </row>
    <row r="95">
      <c r="A95" t="inlineStr">
        <is>
          <t>2026-05-31</t>
        </is>
      </c>
      <c r="B95" t="inlineStr">
        <is>
          <t>微信</t>
        </is>
      </c>
      <c r="C95" t="inlineStr">
        <is>
          <t>收入</t>
        </is>
      </c>
      <c r="D95" t="n">
        <v>640</v>
      </c>
      <c r="E95" t="inlineStr">
        <is>
          <t>待分类</t>
        </is>
      </c>
      <c r="F95" t="inlineStr">
        <is>
          <t>人工智网科技培训学校 (人工智网科技培训学校) / 转账备注:微信转账 / 已存入零钱</t>
        </is>
      </c>
      <c r="G95" t="inlineStr">
        <is>
          <t>账单导入/2026-07-05/extracted/微信/微信支付账单流水文件(20260405-20260705)——【解压密码可在微信支付公众号查看】.xlsx</t>
        </is>
      </c>
      <c r="H95" t="inlineStr">
        <is>
          <t>中</t>
        </is>
      </c>
      <c r="I95" t="inlineStr">
        <is>
          <t>个人/公司归属不明确，请确认</t>
        </is>
      </c>
      <c r="J95" t="inlineStr">
        <is>
          <t>待确认</t>
        </is>
      </c>
      <c r="K95" t="inlineStr"/>
      <c r="L95" t="inlineStr">
        <is>
          <t>72970177b549e0b5</t>
        </is>
      </c>
      <c r="M95" t="inlineStr">
        <is>
          <t>20260705-174222-auto-bills</t>
        </is>
      </c>
      <c r="N95" t="inlineStr">
        <is>
          <t>2026-05-31 17:56:47 | 转账 | 人工智网科技培训学校 (人工智网科技培训学校) | 转账备注:微信转账 | 收入 | 640 | / | 已存入零钱 | 1000050001202605310220637168658 | / | /</t>
        </is>
      </c>
    </row>
    <row r="96">
      <c r="A96" t="inlineStr">
        <is>
          <t>2026-05-31</t>
        </is>
      </c>
      <c r="B96" t="inlineStr">
        <is>
          <t>微信</t>
        </is>
      </c>
      <c r="C96" t="inlineStr">
        <is>
          <t>收入</t>
        </is>
      </c>
      <c r="D96" t="n">
        <v>950</v>
      </c>
      <c r="E96" t="inlineStr">
        <is>
          <t>待分类</t>
        </is>
      </c>
      <c r="F96" t="inlineStr">
        <is>
          <t>应东林 (应东林) / 转账备注:微信转账 / 已存入零钱</t>
        </is>
      </c>
      <c r="G96" t="inlineStr">
        <is>
          <t>账单导入/2026-07-05/extracted/微信/微信支付账单流水文件(20260405-20260705)——【解压密码可在微信支付公众号查看】.xlsx</t>
        </is>
      </c>
      <c r="H96" t="inlineStr">
        <is>
          <t>中</t>
        </is>
      </c>
      <c r="I96" t="inlineStr">
        <is>
          <t>个人/公司归属不明确，请确认</t>
        </is>
      </c>
      <c r="J96" t="inlineStr">
        <is>
          <t>待确认</t>
        </is>
      </c>
      <c r="K96" t="inlineStr"/>
      <c r="L96" t="inlineStr">
        <is>
          <t>89f24d195b326b33</t>
        </is>
      </c>
      <c r="M96" t="inlineStr">
        <is>
          <t>20260705-174222-auto-bills</t>
        </is>
      </c>
      <c r="N96" t="inlineStr">
        <is>
          <t>2026-05-31 14:58:45 | 转账 | 应东林 (应东林) | 转账备注:微信转账 | 收入 | 950 | / | 已存入零钱 | 1000050001202605310533902680741 | / | /</t>
        </is>
      </c>
    </row>
    <row r="97">
      <c r="A97" t="inlineStr">
        <is>
          <t>2026-05-31</t>
        </is>
      </c>
      <c r="B97" t="inlineStr">
        <is>
          <t>招商银行</t>
        </is>
      </c>
      <c r="C97" t="inlineStr">
        <is>
          <t>支出</t>
        </is>
      </c>
      <c r="D97" t="n">
        <v>13280</v>
      </c>
      <c r="E97" t="inlineStr">
        <is>
          <t>待分类</t>
        </is>
      </c>
      <c r="F97" t="inlineStr">
        <is>
          <t>CNY -  转账汇款 张春华</t>
        </is>
      </c>
      <c r="G97" t="inlineStr">
        <is>
          <t>账单导入/2026-07-05/extracted/招商银行/招商银行交易流水(申请时间2026年07月05日15时41分46秒).pdf</t>
        </is>
      </c>
      <c r="H97" t="inlineStr">
        <is>
          <t>中</t>
        </is>
      </c>
      <c r="I97" t="inlineStr">
        <is>
          <t>个人/公司归属不明确，请确认</t>
        </is>
      </c>
      <c r="J97" t="inlineStr">
        <is>
          <t>待确认</t>
        </is>
      </c>
      <c r="K97" t="inlineStr"/>
      <c r="L97" t="inlineStr">
        <is>
          <t>70d6615a67b29a3d</t>
        </is>
      </c>
      <c r="M97" t="inlineStr">
        <is>
          <t>20260705-174222-auto-bills</t>
        </is>
      </c>
      <c r="N97" t="inlineStr">
        <is>
          <t>2026-05-31 CNY -13,280.00 7,558.31 转账汇款 张春华</t>
        </is>
      </c>
    </row>
    <row r="98">
      <c r="A98" t="inlineStr">
        <is>
          <t>2026-05-31</t>
        </is>
      </c>
      <c r="B98" t="inlineStr">
        <is>
          <t>招商银行</t>
        </is>
      </c>
      <c r="C98" t="inlineStr">
        <is>
          <t>收入</t>
        </is>
      </c>
      <c r="D98" t="n">
        <v>15200</v>
      </c>
      <c r="E98" t="inlineStr">
        <is>
          <t>待分类</t>
        </is>
      </c>
      <c r="F98" t="inlineStr">
        <is>
          <t>CNY   行内转账转入 王丹</t>
        </is>
      </c>
      <c r="G98" t="inlineStr">
        <is>
          <t>账单导入/2026-07-05/extracted/招商银行/招商银行交易流水(申请时间2026年07月05日15时41分46秒).pdf</t>
        </is>
      </c>
      <c r="H98" t="inlineStr">
        <is>
          <t>中</t>
        </is>
      </c>
      <c r="I98" t="inlineStr">
        <is>
          <t>个人/公司归属不明确，请确认</t>
        </is>
      </c>
      <c r="J98" t="inlineStr">
        <is>
          <t>待确认</t>
        </is>
      </c>
      <c r="K98" t="inlineStr"/>
      <c r="L98" t="inlineStr">
        <is>
          <t>794fe7594c7d44bc</t>
        </is>
      </c>
      <c r="M98" t="inlineStr">
        <is>
          <t>20260705-174222-auto-bills</t>
        </is>
      </c>
      <c r="N98" t="inlineStr">
        <is>
          <t>2026-05-31 CNY 15,200.00 20,838.31 行内转账转入 王丹</t>
        </is>
      </c>
    </row>
    <row r="99">
      <c r="A99" t="inlineStr">
        <is>
          <t>2026-06-01</t>
        </is>
      </c>
      <c r="B99" t="inlineStr">
        <is>
          <t>微信</t>
        </is>
      </c>
      <c r="C99" t="inlineStr">
        <is>
          <t>支出</t>
        </is>
      </c>
      <c r="D99" t="n">
        <v>3</v>
      </c>
      <c r="E99" t="inlineStr">
        <is>
          <t>待分类</t>
        </is>
      </c>
      <c r="F99" t="inlineStr">
        <is>
          <t>京东永惠鲜生超市 / 京东永惠鲜生超市_10021002606012017430783055128308_75813843753966001 / 支付成功</t>
        </is>
      </c>
      <c r="G99" t="inlineStr">
        <is>
          <t>账单导入/2026-07-05/extracted/微信/微信支付账单流水文件(20260405-20260705)——【解压密码可在微信支付公众号查看】.xlsx</t>
        </is>
      </c>
      <c r="H99" t="inlineStr">
        <is>
          <t>中</t>
        </is>
      </c>
      <c r="I99" t="inlineStr">
        <is>
          <t>疑似个人交易，请确认是否排除</t>
        </is>
      </c>
      <c r="J99" t="inlineStr">
        <is>
          <t>待确认</t>
        </is>
      </c>
      <c r="K99" t="inlineStr"/>
      <c r="L99" t="inlineStr">
        <is>
          <t>f7fb76dfbb369b3b</t>
        </is>
      </c>
      <c r="M99" t="inlineStr">
        <is>
          <t>20260705-174222-auto-bills</t>
        </is>
      </c>
      <c r="N99" t="inlineStr">
        <is>
          <t>2026-06-01 20:17:45 | 商户消费 | 京东永惠鲜生超市 | 京东永惠鲜生超市_10021002606012017430783055128308_75813843753966001 | 支出 | 3 | 零钱 | 支付成功 | 4200003033202606019722743883 | 83620260601730528047 | /</t>
        </is>
      </c>
    </row>
    <row r="100">
      <c r="A100" t="inlineStr">
        <is>
          <t>2026-06-01</t>
        </is>
      </c>
      <c r="B100" t="inlineStr">
        <is>
          <t>微信</t>
        </is>
      </c>
      <c r="C100" t="inlineStr">
        <is>
          <t>支出</t>
        </is>
      </c>
      <c r="D100" t="n">
        <v>3</v>
      </c>
      <c r="E100" t="inlineStr">
        <is>
          <t>待分类</t>
        </is>
      </c>
      <c r="F100" t="inlineStr">
        <is>
          <t>发给菜鸟驿站 (苏怀春) / / / 支付成功</t>
        </is>
      </c>
      <c r="G100" t="inlineStr">
        <is>
          <t>账单导入/2026-07-05/extracted/微信/微信支付账单流水文件(20260405-20260705)——【解压密码可在微信支付公众号查看】.xlsx</t>
        </is>
      </c>
      <c r="H100" t="inlineStr">
        <is>
          <t>中</t>
        </is>
      </c>
      <c r="I100" t="inlineStr">
        <is>
          <t>个人/公司归属不明确，请确认</t>
        </is>
      </c>
      <c r="J100" t="inlineStr">
        <is>
          <t>待确认</t>
        </is>
      </c>
      <c r="K100" t="inlineStr"/>
      <c r="L100" t="inlineStr">
        <is>
          <t>4bf7c67838630e0c</t>
        </is>
      </c>
      <c r="M100" t="inlineStr">
        <is>
          <t>20260705-174222-auto-bills</t>
        </is>
      </c>
      <c r="N100" t="inlineStr">
        <is>
          <t>2026-06-01 12:11:31 | 微信红包（单发） | 发给菜鸟驿站 (苏怀春) | / | 支出 | 3 | 零钱 | 支付成功 | 100003990126060100057311509729021221 | 1000039901202606016005367681047 | /</t>
        </is>
      </c>
    </row>
    <row r="101">
      <c r="A101" t="inlineStr">
        <is>
          <t>2026-06-01</t>
        </is>
      </c>
      <c r="B101" t="inlineStr">
        <is>
          <t>微信</t>
        </is>
      </c>
      <c r="C101" t="inlineStr">
        <is>
          <t>支出</t>
        </is>
      </c>
      <c r="D101" t="n">
        <v>12</v>
      </c>
      <c r="E101" t="inlineStr">
        <is>
          <t>待分类</t>
        </is>
      </c>
      <c r="F101" t="inlineStr">
        <is>
          <t>京东永惠鲜生超市 / 京东永惠鲜生超市_10021002606012052300773055123034_75817928700966001 / 支付成功</t>
        </is>
      </c>
      <c r="G101" t="inlineStr">
        <is>
          <t>账单导入/2026-07-05/extracted/微信/微信支付账单流水文件(20260405-20260705)——【解压密码可在微信支付公众号查看】.xlsx</t>
        </is>
      </c>
      <c r="H101" t="inlineStr">
        <is>
          <t>中</t>
        </is>
      </c>
      <c r="I101" t="inlineStr">
        <is>
          <t>疑似个人交易，请确认是否排除</t>
        </is>
      </c>
      <c r="J101" t="inlineStr">
        <is>
          <t>待确认</t>
        </is>
      </c>
      <c r="K101" t="inlineStr"/>
      <c r="L101" t="inlineStr">
        <is>
          <t>3fa87a3a3625545d</t>
        </is>
      </c>
      <c r="M101" t="inlineStr">
        <is>
          <t>20260705-174222-auto-bills</t>
        </is>
      </c>
      <c r="N101" t="inlineStr">
        <is>
          <t>2026-06-01 20:52:32 | 商户消费 | 京东永惠鲜生超市 | 京东永惠鲜生超市_10021002606012052300773055123034_75817928700966001 | 支出 | 12 | 零钱 | 支付成功 | 4200003100202606010129526745 | 83620260601699573883 | /</t>
        </is>
      </c>
    </row>
    <row r="102">
      <c r="A102" t="inlineStr">
        <is>
          <t>2026-06-01</t>
        </is>
      </c>
      <c r="B102" t="inlineStr">
        <is>
          <t>微信</t>
        </is>
      </c>
      <c r="C102" t="inlineStr">
        <is>
          <t>成本</t>
        </is>
      </c>
      <c r="D102" t="n">
        <v>13</v>
      </c>
      <c r="E102" t="inlineStr">
        <is>
          <t>待分类</t>
        </is>
      </c>
      <c r="F102" t="inlineStr">
        <is>
          <t>美团平台商户 / 美团跑腿-美团外卖微信小程序-26060111100300001307899738634138 / 支付成功</t>
        </is>
      </c>
      <c r="G102" t="inlineStr">
        <is>
          <t>账单导入/2026-07-05/extracted/微信/微信支付账单流水文件(20260405-20260705)——【解压密码可在微信支付公众号查看】.xlsx</t>
        </is>
      </c>
      <c r="H102" t="inlineStr">
        <is>
          <t>中</t>
        </is>
      </c>
      <c r="I102" t="inlineStr">
        <is>
          <t>个人/公司归属不明确，请确认</t>
        </is>
      </c>
      <c r="J102" t="inlineStr">
        <is>
          <t>待确认</t>
        </is>
      </c>
      <c r="K102" t="inlineStr"/>
      <c r="L102" t="inlineStr">
        <is>
          <t>2b90d3965d255b67</t>
        </is>
      </c>
      <c r="M102" t="inlineStr">
        <is>
          <t>20260705-174222-auto-bills</t>
        </is>
      </c>
      <c r="N102" t="inlineStr">
        <is>
          <t>2026-06-01 12:19:37 | 商户消费 | 美团平台商户 | 美团跑腿-美团外卖微信小程序-26060111100300001307899738634138 | 支出 | 13 | 零钱 | 支付成功 | 4200003052202606011850793652 | 20260601121934U16023500268603193 | /</t>
        </is>
      </c>
    </row>
    <row r="103">
      <c r="A103" t="inlineStr">
        <is>
          <t>2026-06-01</t>
        </is>
      </c>
      <c r="B103" t="inlineStr">
        <is>
          <t>微信</t>
        </is>
      </c>
      <c r="C103" t="inlineStr">
        <is>
          <t>支出</t>
        </is>
      </c>
      <c r="D103" t="n">
        <v>20</v>
      </c>
      <c r="E103" t="inlineStr">
        <is>
          <t>待分类</t>
        </is>
      </c>
      <c r="F103" t="inlineStr">
        <is>
          <t>泊惠成都高新 / 公众号成都 环球中心川A6Z73C成都 环球中心 / 支付成功</t>
        </is>
      </c>
      <c r="G103" t="inlineStr">
        <is>
          <t>账单导入/2026-07-05/extracted/微信/微信支付账单流水文件(20260405-20260705)——【解压密码可在微信支付公众号查看】.xlsx</t>
        </is>
      </c>
      <c r="H103" t="inlineStr">
        <is>
          <t>中</t>
        </is>
      </c>
      <c r="I103" t="inlineStr">
        <is>
          <t>个人/公司归属不明确，请确认</t>
        </is>
      </c>
      <c r="J103" t="inlineStr">
        <is>
          <t>待确认</t>
        </is>
      </c>
      <c r="K103" t="inlineStr"/>
      <c r="L103" t="inlineStr">
        <is>
          <t>453f1f5e041e376c</t>
        </is>
      </c>
      <c r="M103" t="inlineStr">
        <is>
          <t>20260705-174222-auto-bills</t>
        </is>
      </c>
      <c r="N103" t="inlineStr">
        <is>
          <t>2026-06-01 18:17:04 | 商户消费 | 泊惠成都高新 | 公众号成都 环球中心川A6Z73C成都 环球中心 | 支出 | 20 | 零钱 | 支付成功 | 4200003040202606018869933034 | 8CQ17803090180989337087618 | /</t>
        </is>
      </c>
    </row>
    <row r="104">
      <c r="A104" t="inlineStr">
        <is>
          <t>2026-06-01</t>
        </is>
      </c>
      <c r="B104" t="inlineStr">
        <is>
          <t>微信</t>
        </is>
      </c>
      <c r="C104" t="inlineStr">
        <is>
          <t>支出</t>
        </is>
      </c>
      <c r="D104" t="n">
        <v>31</v>
      </c>
      <c r="E104" t="inlineStr">
        <is>
          <t>待分类</t>
        </is>
      </c>
      <c r="F104" t="inlineStr">
        <is>
          <t>老牛鸳鸯抄手 / 老牛鸳鸯抄手 / 支付成功</t>
        </is>
      </c>
      <c r="G104" t="inlineStr">
        <is>
          <t>账单导入/2026-07-05/extracted/微信/微信支付账单流水文件(20260405-20260705)——【解压密码可在微信支付公众号查看】.xlsx</t>
        </is>
      </c>
      <c r="H104" t="inlineStr">
        <is>
          <t>中</t>
        </is>
      </c>
      <c r="I104" t="inlineStr">
        <is>
          <t>个人/公司归属不明确，请确认</t>
        </is>
      </c>
      <c r="J104" t="inlineStr">
        <is>
          <t>待确认</t>
        </is>
      </c>
      <c r="K104" t="inlineStr"/>
      <c r="L104" t="inlineStr">
        <is>
          <t>f7d3431cbcf94c99</t>
        </is>
      </c>
      <c r="M104" t="inlineStr">
        <is>
          <t>20260705-174222-auto-bills</t>
        </is>
      </c>
      <c r="N104" t="inlineStr">
        <is>
          <t>2026-06-01 19:53:47 | 商户消费 | 老牛鸳鸯抄手 | 老牛鸳鸯抄手 | 支出 | 31 | 零钱 | 支付成功 | 4500000185202606014197702170 | 7895081257198527 | /</t>
        </is>
      </c>
    </row>
    <row r="105">
      <c r="A105" t="inlineStr">
        <is>
          <t>2026-06-01</t>
        </is>
      </c>
      <c r="B105" t="inlineStr">
        <is>
          <t>微信</t>
        </is>
      </c>
      <c r="C105" t="inlineStr">
        <is>
          <t>支出</t>
        </is>
      </c>
      <c r="D105" t="n">
        <v>295</v>
      </c>
      <c r="E105" t="inlineStr">
        <is>
          <t>待分类</t>
        </is>
      </c>
      <c r="F105" t="inlineStr">
        <is>
          <t>星际传奇代言人（没回消息打语音） (星际传奇代言人（没回消息打语音）) / 转账备注:微信转账 / 对方已收钱</t>
        </is>
      </c>
      <c r="G105" t="inlineStr">
        <is>
          <t>账单导入/2026-07-05/extracted/微信/微信支付账单流水文件(20260405-20260705)——【解压密码可在微信支付公众号查看】.xlsx</t>
        </is>
      </c>
      <c r="H105" t="inlineStr">
        <is>
          <t>中</t>
        </is>
      </c>
      <c r="I105" t="inlineStr">
        <is>
          <t>个人/公司归属不明确，请确认</t>
        </is>
      </c>
      <c r="J105" t="inlineStr">
        <is>
          <t>待确认</t>
        </is>
      </c>
      <c r="K105" t="inlineStr"/>
      <c r="L105" t="inlineStr">
        <is>
          <t>b3d33b061b6ceb3a</t>
        </is>
      </c>
      <c r="M105" t="inlineStr">
        <is>
          <t>20260705-174222-auto-bills</t>
        </is>
      </c>
      <c r="N105" t="inlineStr">
        <is>
          <t>2026-06-01 10:48:40 | 转账 | 星际传奇代言人（没回消息打语音） (星际传奇代言人（没回消息打语音）) | 转账备注:微信转账 | 支出 | 295 | 零钱 | 对方已收钱 | 53010003158150202606010303270682 | 1000050001202606010232933752661 | /</t>
        </is>
      </c>
    </row>
    <row r="106">
      <c r="A106" t="inlineStr">
        <is>
          <t>2026-06-01</t>
        </is>
      </c>
      <c r="B106" t="inlineStr">
        <is>
          <t>微信</t>
        </is>
      </c>
      <c r="C106" t="inlineStr">
        <is>
          <t>支出</t>
        </is>
      </c>
      <c r="D106" t="n">
        <v>300</v>
      </c>
      <c r="E106" t="inlineStr">
        <is>
          <t>待分类</t>
        </is>
      </c>
      <c r="F106" t="inlineStr">
        <is>
          <t>成都市反斗乐玩具有限公司 / 成都市反斗乐玩具有限公司 / 支付成功</t>
        </is>
      </c>
      <c r="G106" t="inlineStr">
        <is>
          <t>账单导入/2026-07-05/extracted/微信/微信支付账单流水文件(20260405-20260705)——【解压密码可在微信支付公众号查看】.xlsx</t>
        </is>
      </c>
      <c r="H106" t="inlineStr">
        <is>
          <t>中</t>
        </is>
      </c>
      <c r="I106" t="inlineStr">
        <is>
          <t>个人/公司归属不明确，请确认</t>
        </is>
      </c>
      <c r="J106" t="inlineStr">
        <is>
          <t>待确认</t>
        </is>
      </c>
      <c r="K106" t="inlineStr"/>
      <c r="L106" t="inlineStr">
        <is>
          <t>d23ca2a05fa793d2</t>
        </is>
      </c>
      <c r="M106" t="inlineStr">
        <is>
          <t>20260705-174222-auto-bills</t>
        </is>
      </c>
      <c r="N106" t="inlineStr">
        <is>
          <t>2026-06-01 17:22:33 | 商户消费 | 成都市反斗乐玩具有限公司 | 成都市反斗乐玩具有限公司 | 支出 | 300 | 零钱 | 支付成功 | 4200003118202606010356099806 | T6437328120260601172230 | /</t>
        </is>
      </c>
    </row>
    <row r="107">
      <c r="A107" t="inlineStr">
        <is>
          <t>2026-06-02</t>
        </is>
      </c>
      <c r="B107" t="inlineStr">
        <is>
          <t>微信</t>
        </is>
      </c>
      <c r="C107" t="inlineStr">
        <is>
          <t>收入</t>
        </is>
      </c>
      <c r="D107" t="n">
        <v>3</v>
      </c>
      <c r="E107" t="inlineStr">
        <is>
          <t>待分类</t>
        </is>
      </c>
      <c r="F107" t="inlineStr">
        <is>
          <t>郑氏肉业 / 收款方备注:二维码收款 / 已转账</t>
        </is>
      </c>
      <c r="G107" t="inlineStr">
        <is>
          <t>账单导入/2026-07-05/extracted/微信/微信支付账单流水文件(20260405-20260705)——【解压密码可在微信支付公众号查看】.xlsx</t>
        </is>
      </c>
      <c r="H107" t="inlineStr">
        <is>
          <t>中</t>
        </is>
      </c>
      <c r="I107" t="inlineStr">
        <is>
          <t>个人/公司归属不明确，请确认</t>
        </is>
      </c>
      <c r="J107" t="inlineStr">
        <is>
          <t>待确认</t>
        </is>
      </c>
      <c r="K107" t="inlineStr"/>
      <c r="L107" t="inlineStr">
        <is>
          <t>90e8306b0446c2f8</t>
        </is>
      </c>
      <c r="M107" t="inlineStr">
        <is>
          <t>20260705-174222-auto-bills</t>
        </is>
      </c>
      <c r="N107" t="inlineStr">
        <is>
          <t>2026-06-02 14:06:42 | 扫二维码付款 | 郑氏肉业 | 收款方备注:二维码收款 | 支出 | 3 | 零钱 | 已转账 | 53110001654010202606020113697670 | 10001073012026060201900289531551 | /</t>
        </is>
      </c>
    </row>
    <row r="108">
      <c r="A108" t="inlineStr">
        <is>
          <t>2026-06-02</t>
        </is>
      </c>
      <c r="B108" t="inlineStr">
        <is>
          <t>微信</t>
        </is>
      </c>
      <c r="C108" t="inlineStr">
        <is>
          <t>收入</t>
        </is>
      </c>
      <c r="D108" t="n">
        <v>7</v>
      </c>
      <c r="E108" t="inlineStr">
        <is>
          <t>待分类</t>
        </is>
      </c>
      <c r="F108" t="inlineStr">
        <is>
          <t>清泉 (清泉) / 收款方备注:二维码收款 / 已转账</t>
        </is>
      </c>
      <c r="G108" t="inlineStr">
        <is>
          <t>账单导入/2026-07-05/extracted/微信/微信支付账单流水文件(20260405-20260705)——【解压密码可在微信支付公众号查看】.xlsx</t>
        </is>
      </c>
      <c r="H108" t="inlineStr">
        <is>
          <t>中</t>
        </is>
      </c>
      <c r="I108" t="inlineStr">
        <is>
          <t>个人/公司归属不明确，请确认</t>
        </is>
      </c>
      <c r="J108" t="inlineStr">
        <is>
          <t>待确认</t>
        </is>
      </c>
      <c r="K108" t="inlineStr"/>
      <c r="L108" t="inlineStr">
        <is>
          <t>536a0bf6a85a57dd</t>
        </is>
      </c>
      <c r="M108" t="inlineStr">
        <is>
          <t>20260705-174222-auto-bills</t>
        </is>
      </c>
      <c r="N108" t="inlineStr">
        <is>
          <t>2026-06-02 14:01:01 | 扫二维码付款 | 清泉 (清泉) | 收款方备注:二维码收款 | 支出 | 7 | 零钱 | 已转账 | 53110001873125202606021888344075 | 10001073012026060201610993338570 | /</t>
        </is>
      </c>
    </row>
    <row r="109">
      <c r="A109" t="inlineStr">
        <is>
          <t>2026-06-02</t>
        </is>
      </c>
      <c r="B109" t="inlineStr">
        <is>
          <t>微信</t>
        </is>
      </c>
      <c r="C109" t="inlineStr">
        <is>
          <t>收入</t>
        </is>
      </c>
      <c r="D109" t="n">
        <v>10</v>
      </c>
      <c r="E109" t="inlineStr">
        <is>
          <t>待分类</t>
        </is>
      </c>
      <c r="F109" t="inlineStr">
        <is>
          <t>云 (云) / 收款方备注:二维码收款 / 已转账</t>
        </is>
      </c>
      <c r="G109" t="inlineStr">
        <is>
          <t>账单导入/2026-07-05/extracted/微信/微信支付账单流水文件(20260405-20260705)——【解压密码可在微信支付公众号查看】.xlsx</t>
        </is>
      </c>
      <c r="H109" t="inlineStr">
        <is>
          <t>中</t>
        </is>
      </c>
      <c r="I109" t="inlineStr">
        <is>
          <t>个人/公司归属不明确，请确认</t>
        </is>
      </c>
      <c r="J109" t="inlineStr">
        <is>
          <t>待确认</t>
        </is>
      </c>
      <c r="K109" t="inlineStr"/>
      <c r="L109" t="inlineStr">
        <is>
          <t>af6323ca5071a9d2</t>
        </is>
      </c>
      <c r="M109" t="inlineStr">
        <is>
          <t>20260705-174222-auto-bills</t>
        </is>
      </c>
      <c r="N109" t="inlineStr">
        <is>
          <t>2026-06-02 14:11:34 | 扫二维码付款 | 云 (云) | 收款方备注:二维码收款 | 支出 | 10 | 零钱 | 已转账 | 53110001888143202606021038373966 | 10001073012026060201939697389536 | /</t>
        </is>
      </c>
    </row>
    <row r="110">
      <c r="A110" t="inlineStr">
        <is>
          <t>2026-06-02</t>
        </is>
      </c>
      <c r="B110" t="inlineStr">
        <is>
          <t>微信</t>
        </is>
      </c>
      <c r="C110" t="inlineStr">
        <is>
          <t>收入</t>
        </is>
      </c>
      <c r="D110" t="n">
        <v>14</v>
      </c>
      <c r="E110" t="inlineStr">
        <is>
          <t>待分类</t>
        </is>
      </c>
      <c r="F110" t="inlineStr">
        <is>
          <t>李水果丨双流店 / 收款方备注:二维码收款 / 已转账</t>
        </is>
      </c>
      <c r="G110" t="inlineStr">
        <is>
          <t>账单导入/2026-07-05/extracted/微信/微信支付账单流水文件(20260405-20260705)——【解压密码可在微信支付公众号查看】.xlsx</t>
        </is>
      </c>
      <c r="H110" t="inlineStr">
        <is>
          <t>中</t>
        </is>
      </c>
      <c r="I110" t="inlineStr">
        <is>
          <t>个人/公司归属不明确，请确认</t>
        </is>
      </c>
      <c r="J110" t="inlineStr">
        <is>
          <t>待确认</t>
        </is>
      </c>
      <c r="K110" t="inlineStr"/>
      <c r="L110" t="inlineStr">
        <is>
          <t>50b9e766db11d924</t>
        </is>
      </c>
      <c r="M110" t="inlineStr">
        <is>
          <t>20260705-174222-auto-bills</t>
        </is>
      </c>
      <c r="N110" t="inlineStr">
        <is>
          <t>2026-06-02 14:15:29 | 扫二维码付款 | 李水果丨双流店 | 收款方备注:二维码收款 | 支出 | 14 | 零钱 | 已转账 | 53110001657239202606022813577613 | 10001073012026060201826945229631 | /</t>
        </is>
      </c>
    </row>
    <row r="111">
      <c r="A111" t="inlineStr">
        <is>
          <t>2026-06-02</t>
        </is>
      </c>
      <c r="B111" t="inlineStr">
        <is>
          <t>微信</t>
        </is>
      </c>
      <c r="C111" t="inlineStr">
        <is>
          <t>收入</t>
        </is>
      </c>
      <c r="D111" t="n">
        <v>21</v>
      </c>
      <c r="E111" t="inlineStr">
        <is>
          <t>待分类</t>
        </is>
      </c>
      <c r="F111" t="inlineStr">
        <is>
          <t>郭家鲜蔬 / 收款方备注:二维码收款 / 已转账</t>
        </is>
      </c>
      <c r="G111" t="inlineStr">
        <is>
          <t>账单导入/2026-07-05/extracted/微信/微信支付账单流水文件(20260405-20260705)——【解压密码可在微信支付公众号查看】.xlsx</t>
        </is>
      </c>
      <c r="H111" t="inlineStr">
        <is>
          <t>中</t>
        </is>
      </c>
      <c r="I111" t="inlineStr">
        <is>
          <t>个人/公司归属不明确，请确认</t>
        </is>
      </c>
      <c r="J111" t="inlineStr">
        <is>
          <t>待确认</t>
        </is>
      </c>
      <c r="K111" t="inlineStr"/>
      <c r="L111" t="inlineStr">
        <is>
          <t>05519d5d2d96abc8</t>
        </is>
      </c>
      <c r="M111" t="inlineStr">
        <is>
          <t>20260705-174222-auto-bills</t>
        </is>
      </c>
      <c r="N111" t="inlineStr">
        <is>
          <t>2026-06-02 13:56:58 | 扫二维码付款 | 郭家鲜蔬 | 收款方备注:二维码收款 | 支出 | 21 | 零钱 | 已转账 | 53110001631138202606021922131455 | 10001073012026060201745538134530 | /</t>
        </is>
      </c>
    </row>
    <row r="112">
      <c r="A112" t="inlineStr">
        <is>
          <t>2026-06-02</t>
        </is>
      </c>
      <c r="B112" t="inlineStr">
        <is>
          <t>微信</t>
        </is>
      </c>
      <c r="C112" t="inlineStr">
        <is>
          <t>收入</t>
        </is>
      </c>
      <c r="D112" t="n">
        <v>27</v>
      </c>
      <c r="E112" t="inlineStr">
        <is>
          <t>待分类</t>
        </is>
      </c>
      <c r="F112" t="inlineStr">
        <is>
          <t>清泉 (清泉) / 收款方备注:二维码收款 / 已转账</t>
        </is>
      </c>
      <c r="G112" t="inlineStr">
        <is>
          <t>账单导入/2026-07-05/extracted/微信/微信支付账单流水文件(20260405-20260705)——【解压密码可在微信支付公众号查看】.xlsx</t>
        </is>
      </c>
      <c r="H112" t="inlineStr">
        <is>
          <t>中</t>
        </is>
      </c>
      <c r="I112" t="inlineStr">
        <is>
          <t>个人/公司归属不明确，请确认</t>
        </is>
      </c>
      <c r="J112" t="inlineStr">
        <is>
          <t>待确认</t>
        </is>
      </c>
      <c r="K112" t="inlineStr"/>
      <c r="L112" t="inlineStr">
        <is>
          <t>3dfef68f20232e06</t>
        </is>
      </c>
      <c r="M112" t="inlineStr">
        <is>
          <t>20260705-174222-auto-bills</t>
        </is>
      </c>
      <c r="N112" t="inlineStr">
        <is>
          <t>2026-06-02 14:00:02 | 扫二维码付款 | 清泉 (清泉) | 收款方备注:二维码收款 | 支出 | 27 | 零钱 | 已转账 | 53110001659252202606020582816718 | 10001073012026060201505448383548 | /</t>
        </is>
      </c>
    </row>
    <row r="113">
      <c r="A113" t="inlineStr">
        <is>
          <t>2026-06-02</t>
        </is>
      </c>
      <c r="B113" t="inlineStr">
        <is>
          <t>微信</t>
        </is>
      </c>
      <c r="C113" t="inlineStr">
        <is>
          <t>支出</t>
        </is>
      </c>
      <c r="D113" t="n">
        <v>28</v>
      </c>
      <c r="E113" t="inlineStr">
        <is>
          <t>待分类</t>
        </is>
      </c>
      <c r="F113" t="inlineStr">
        <is>
          <t>成都市双流区思玥享蓉饭店（个体工商户） / 中国银行信用卡 / 支付成功</t>
        </is>
      </c>
      <c r="G113" t="inlineStr">
        <is>
          <t>账单导入/2026-07-05/extracted/微信/微信支付账单流水文件(20260405-20260705)——【解压密码可在微信支付公众号查看】.xlsx</t>
        </is>
      </c>
      <c r="H113" t="inlineStr">
        <is>
          <t>中</t>
        </is>
      </c>
      <c r="I113" t="inlineStr">
        <is>
          <t>个人/公司归属不明确，请确认</t>
        </is>
      </c>
      <c r="J113" t="inlineStr">
        <is>
          <t>待确认</t>
        </is>
      </c>
      <c r="K113" t="inlineStr"/>
      <c r="L113" t="inlineStr">
        <is>
          <t>186d07a734409a3a</t>
        </is>
      </c>
      <c r="M113" t="inlineStr">
        <is>
          <t>20260705-174222-auto-bills</t>
        </is>
      </c>
      <c r="N113" t="inlineStr">
        <is>
          <t>2026-06-02 13:27:17 | 商户消费 | 成都市双流区思玥享蓉饭店（个体工商户） | 中国银行信用卡 | 支出 | 28 | 零钱 | 支付成功 | 4500000209202606028438677902 | WPZ910430958569091002132711 | /</t>
        </is>
      </c>
    </row>
    <row r="114">
      <c r="A114" t="inlineStr">
        <is>
          <t>2026-06-02</t>
        </is>
      </c>
      <c r="B114" t="inlineStr">
        <is>
          <t>微信</t>
        </is>
      </c>
      <c r="C114" t="inlineStr">
        <is>
          <t>退款</t>
        </is>
      </c>
      <c r="D114" t="n">
        <v>30</v>
      </c>
      <c r="E114" t="inlineStr">
        <is>
          <t>待分类</t>
        </is>
      </c>
      <c r="F114" t="inlineStr">
        <is>
          <t>QQ音乐会员 / 超级会员-订单1260602021929773654(微信账号购买) / 已全额退款</t>
        </is>
      </c>
      <c r="G114" t="inlineStr">
        <is>
          <t>账单导入/2026-07-05/extracted/微信/微信支付账单流水文件(20260405-20260705)——【解压密码可在微信支付公众号查看】.xlsx</t>
        </is>
      </c>
      <c r="H114" t="inlineStr">
        <is>
          <t>中</t>
        </is>
      </c>
      <c r="I114" t="inlineStr">
        <is>
          <t>个人/公司归属不明确，请确认</t>
        </is>
      </c>
      <c r="J114" t="inlineStr">
        <is>
          <t>待确认</t>
        </is>
      </c>
      <c r="K114" t="inlineStr"/>
      <c r="L114" t="inlineStr">
        <is>
          <t>3704264ded48719b</t>
        </is>
      </c>
      <c r="M114" t="inlineStr">
        <is>
          <t>20260705-174222-auto-bills</t>
        </is>
      </c>
      <c r="N114" t="inlineStr">
        <is>
          <t>2026-06-02 20:24:30 | 商户消费 | QQ音乐会员 | 超级会员-订单1260602021929773654(微信账号购买) | 支出 | 30 | 招商银行信用卡(1439) | 已全额退款 | 4200003054202606020452315035 | 4126060224998771072 | /</t>
        </is>
      </c>
    </row>
    <row r="115">
      <c r="A115" t="inlineStr">
        <is>
          <t>2026-06-02</t>
        </is>
      </c>
      <c r="B115" t="inlineStr">
        <is>
          <t>微信</t>
        </is>
      </c>
      <c r="C115" t="inlineStr">
        <is>
          <t>收入</t>
        </is>
      </c>
      <c r="D115" t="n">
        <v>35</v>
      </c>
      <c r="E115" t="inlineStr">
        <is>
          <t>待分类</t>
        </is>
      </c>
      <c r="F115" t="inlineStr">
        <is>
          <t>花 (花) / 收款方备注:二维码收款 / 已转账</t>
        </is>
      </c>
      <c r="G115" t="inlineStr">
        <is>
          <t>账单导入/2026-07-05/extracted/微信/微信支付账单流水文件(20260405-20260705)——【解压密码可在微信支付公众号查看】.xlsx</t>
        </is>
      </c>
      <c r="H115" t="inlineStr">
        <is>
          <t>中</t>
        </is>
      </c>
      <c r="I115" t="inlineStr">
        <is>
          <t>个人/公司归属不明确，请确认</t>
        </is>
      </c>
      <c r="J115" t="inlineStr">
        <is>
          <t>待确认</t>
        </is>
      </c>
      <c r="K115" t="inlineStr"/>
      <c r="L115" t="inlineStr">
        <is>
          <t>11200317b516dfa0</t>
        </is>
      </c>
      <c r="M115" t="inlineStr">
        <is>
          <t>20260705-174222-auto-bills</t>
        </is>
      </c>
      <c r="N115" t="inlineStr">
        <is>
          <t>2026-06-02 14:09:07 | 扫二维码付款 | 花 (花) | 收款方备注:二维码收款 | 支出 | 35 | 零钱 | 已转账 | 53110001631230202606021041705902 | 10001073012026060201214989585542 | /</t>
        </is>
      </c>
    </row>
    <row r="116">
      <c r="A116" t="inlineStr">
        <is>
          <t>2026-06-02</t>
        </is>
      </c>
      <c r="B116" t="inlineStr">
        <is>
          <t>微信</t>
        </is>
      </c>
      <c r="C116" t="inlineStr">
        <is>
          <t>支出</t>
        </is>
      </c>
      <c r="D116" t="n">
        <v>59.2</v>
      </c>
      <c r="E116" t="inlineStr">
        <is>
          <t>待分类</t>
        </is>
      </c>
      <c r="F116" t="inlineStr">
        <is>
          <t>中国电信 / 微信小程序充值 / 支付成功</t>
        </is>
      </c>
      <c r="G116" t="inlineStr">
        <is>
          <t>账单导入/2026-07-05/extracted/微信/微信支付账单流水文件(20260405-20260705)——【解压密码可在微信支付公众号查看】.xlsx</t>
        </is>
      </c>
      <c r="H116" t="inlineStr">
        <is>
          <t>中</t>
        </is>
      </c>
      <c r="I116" t="inlineStr">
        <is>
          <t>疑似个人交易，请确认是否排除</t>
        </is>
      </c>
      <c r="J116" t="inlineStr">
        <is>
          <t>待确认</t>
        </is>
      </c>
      <c r="K116" t="inlineStr"/>
      <c r="L116" t="inlineStr">
        <is>
          <t>47739ca5c7fc306c</t>
        </is>
      </c>
      <c r="M116" t="inlineStr">
        <is>
          <t>20260705-174222-auto-bills</t>
        </is>
      </c>
      <c r="N116" t="inlineStr">
        <is>
          <t>2026-06-02 12:07:16 | 商户消费 | 中国电信 | 微信小程序充值 | 支出 | 59.2 | 零钱 | 支付成功 | 4500000198202606025428804482 | ZF260602120711100000000066963462 | /</t>
        </is>
      </c>
    </row>
    <row r="117">
      <c r="A117" t="inlineStr">
        <is>
          <t>2026-06-03</t>
        </is>
      </c>
      <c r="B117" t="inlineStr">
        <is>
          <t>招商银行</t>
        </is>
      </c>
      <c r="C117" t="inlineStr">
        <is>
          <t>支出</t>
        </is>
      </c>
      <c r="D117" t="n">
        <v>1</v>
      </c>
      <c r="E117" t="inlineStr">
        <is>
          <t>待分类</t>
        </is>
      </c>
      <c r="F117" t="inlineStr">
        <is>
          <t>CNY -  快捷支付 吴文凯</t>
        </is>
      </c>
      <c r="G117" t="inlineStr">
        <is>
          <t>账单导入/2026-07-05/extracted/招商银行/招商银行交易流水(申请时间2026年07月05日15时41分46秒).pdf</t>
        </is>
      </c>
      <c r="H117" t="inlineStr">
        <is>
          <t>中</t>
        </is>
      </c>
      <c r="I117" t="inlineStr">
        <is>
          <t>个人/公司归属不明确，请确认</t>
        </is>
      </c>
      <c r="J117" t="inlineStr">
        <is>
          <t>待确认</t>
        </is>
      </c>
      <c r="K117" t="inlineStr"/>
      <c r="L117" t="inlineStr">
        <is>
          <t>c87481b8b9bbd4cd</t>
        </is>
      </c>
      <c r="M117" t="inlineStr">
        <is>
          <t>20260705-174222-auto-bills</t>
        </is>
      </c>
      <c r="N117" t="inlineStr">
        <is>
          <t>2026-06-03 CNY -1.00 7,557.31 快捷支付 吴文凯</t>
        </is>
      </c>
    </row>
    <row r="118">
      <c r="A118" t="inlineStr">
        <is>
          <t>2026-06-04</t>
        </is>
      </c>
      <c r="B118" t="inlineStr">
        <is>
          <t>微信</t>
        </is>
      </c>
      <c r="C118" t="inlineStr">
        <is>
          <t>成本</t>
        </is>
      </c>
      <c r="D118" t="n">
        <v>10</v>
      </c>
      <c r="E118" t="inlineStr">
        <is>
          <t>购买费用</t>
        </is>
      </c>
      <c r="F118" t="inlineStr">
        <is>
          <t>顺丰速运 / 散单运费-顺丰速运 / 支付成功</t>
        </is>
      </c>
      <c r="G118" t="inlineStr">
        <is>
          <t>账单导入/2026-07-05/extracted/微信/微信支付账单流水文件(20260405-20260705)——【解压密码可在微信支付公众号查看】.xlsx</t>
        </is>
      </c>
      <c r="H118" t="inlineStr">
        <is>
          <t>中</t>
        </is>
      </c>
      <c r="I118" t="inlineStr">
        <is>
          <t>疑似公司交易，请确认用途</t>
        </is>
      </c>
      <c r="J118" t="inlineStr">
        <is>
          <t>待确认</t>
        </is>
      </c>
      <c r="K118" t="inlineStr"/>
      <c r="L118" t="inlineStr">
        <is>
          <t>1874a5cc9a6f546e</t>
        </is>
      </c>
      <c r="M118" t="inlineStr">
        <is>
          <t>20260705-174222-auto-bills</t>
        </is>
      </c>
      <c r="N118" t="inlineStr">
        <is>
          <t>2026-06-04 17:19:38 | 商户消费 | 顺丰速运 | 散单运费-顺丰速运 | 支出 | 10 | 零钱 | 支付成功 | 4500000221202606045698712699 | 202606043254967566 | /</t>
        </is>
      </c>
    </row>
    <row r="119">
      <c r="A119" t="inlineStr">
        <is>
          <t>2026-06-05</t>
        </is>
      </c>
      <c r="B119" t="inlineStr">
        <is>
          <t>微信</t>
        </is>
      </c>
      <c r="C119" t="inlineStr">
        <is>
          <t>支出</t>
        </is>
      </c>
      <c r="D119" t="n">
        <v>10</v>
      </c>
      <c r="E119" t="inlineStr">
        <is>
          <t>待分类</t>
        </is>
      </c>
      <c r="F119" t="inlineStr">
        <is>
          <t>速停车 / 川A6Z73C-成都中航国际交流中心 / 支付成功</t>
        </is>
      </c>
      <c r="G119" t="inlineStr">
        <is>
          <t>账单导入/2026-07-05/extracted/微信/微信支付账单流水文件(20260405-20260705)——【解压密码可在微信支付公众号查看】.xlsx</t>
        </is>
      </c>
      <c r="H119" t="inlineStr">
        <is>
          <t>中</t>
        </is>
      </c>
      <c r="I119" t="inlineStr">
        <is>
          <t>个人/公司归属不明确，请确认</t>
        </is>
      </c>
      <c r="J119" t="inlineStr">
        <is>
          <t>待确认</t>
        </is>
      </c>
      <c r="K119" t="inlineStr"/>
      <c r="L119" t="inlineStr">
        <is>
          <t>3256930a6237a9c7</t>
        </is>
      </c>
      <c r="M119" t="inlineStr">
        <is>
          <t>20260705-174222-auto-bills</t>
        </is>
      </c>
      <c r="N119" t="inlineStr">
        <is>
          <t>2026-06-05 11:38:03 | 商户消费 | 速停车 | 川A6Z73C-成都中航国际交流中心 | 支出 | 10 | 零钱 | 支付成功 | 4200003080202606052998134769 | 30JWCPST202606055713283 | /</t>
        </is>
      </c>
    </row>
    <row r="120">
      <c r="A120" t="inlineStr">
        <is>
          <t>2026-06-05</t>
        </is>
      </c>
      <c r="B120" t="inlineStr">
        <is>
          <t>微信</t>
        </is>
      </c>
      <c r="C120" t="inlineStr">
        <is>
          <t>支出</t>
        </is>
      </c>
      <c r="D120" t="n">
        <v>13</v>
      </c>
      <c r="E120" t="inlineStr">
        <is>
          <t>待分类</t>
        </is>
      </c>
      <c r="F120" t="inlineStr">
        <is>
          <t>郭记家常菜 / 静态码支付 / 支付成功</t>
        </is>
      </c>
      <c r="G120" t="inlineStr">
        <is>
          <t>账单导入/2026-07-05/extracted/微信/微信支付账单流水文件(20260405-20260705)——【解压密码可在微信支付公众号查看】.xlsx</t>
        </is>
      </c>
      <c r="H120" t="inlineStr">
        <is>
          <t>中</t>
        </is>
      </c>
      <c r="I120" t="inlineStr">
        <is>
          <t>个人/公司归属不明确，请确认</t>
        </is>
      </c>
      <c r="J120" t="inlineStr">
        <is>
          <t>待确认</t>
        </is>
      </c>
      <c r="K120" t="inlineStr"/>
      <c r="L120" t="inlineStr">
        <is>
          <t>0e2ae14dd3e2c7d5</t>
        </is>
      </c>
      <c r="M120" t="inlineStr">
        <is>
          <t>20260705-174222-auto-bills</t>
        </is>
      </c>
      <c r="N120" t="inlineStr">
        <is>
          <t>2026-06-05 20:57:21 | 商户消费 | 郭记家常菜 | 静态码支付 | 支出 | 13 | 零钱 | 支付成功 | 4500000178202606057256626714 | 1180817973025490739200 | /</t>
        </is>
      </c>
    </row>
    <row r="121">
      <c r="A121" t="inlineStr">
        <is>
          <t>2026-06-05</t>
        </is>
      </c>
      <c r="B121" t="inlineStr">
        <is>
          <t>微信</t>
        </is>
      </c>
      <c r="C121" t="inlineStr">
        <is>
          <t>退款</t>
        </is>
      </c>
      <c r="D121" t="n">
        <v>30</v>
      </c>
      <c r="E121" t="inlineStr">
        <is>
          <t>待分类</t>
        </is>
      </c>
      <c r="F121" t="inlineStr">
        <is>
          <t>QQ音乐会员 / QQ音乐会员 / 已全额退款</t>
        </is>
      </c>
      <c r="G121" t="inlineStr">
        <is>
          <t>账单导入/2026-07-05/extracted/微信/微信支付账单流水文件(20260405-20260705)——【解压密码可在微信支付公众号查看】.xlsx</t>
        </is>
      </c>
      <c r="H121" t="inlineStr">
        <is>
          <t>中</t>
        </is>
      </c>
      <c r="I121" t="inlineStr">
        <is>
          <t>个人/公司归属不明确，请确认</t>
        </is>
      </c>
      <c r="J121" t="inlineStr">
        <is>
          <t>待确认</t>
        </is>
      </c>
      <c r="K121" t="inlineStr"/>
      <c r="L121" t="inlineStr">
        <is>
          <t>3f99daa13d1cb4c3</t>
        </is>
      </c>
      <c r="M121" t="inlineStr">
        <is>
          <t>20260705-174222-auto-bills</t>
        </is>
      </c>
      <c r="N121" t="inlineStr">
        <is>
          <t>2026-06-05 23:45:14 | QQ音乐会员-退款 | QQ音乐会员 | QQ音乐会员 | 收入 | 30 | 招商银行信用卡(1439) | 已全额退款 | 50303407512026060506118413313 |  | /</t>
        </is>
      </c>
    </row>
    <row r="122">
      <c r="A122" t="inlineStr">
        <is>
          <t>2026-06-05</t>
        </is>
      </c>
      <c r="B122" t="inlineStr">
        <is>
          <t>微信</t>
        </is>
      </c>
      <c r="C122" t="inlineStr">
        <is>
          <t>支出</t>
        </is>
      </c>
      <c r="D122" t="n">
        <v>96</v>
      </c>
      <c r="E122" t="inlineStr">
        <is>
          <t>待分类</t>
        </is>
      </c>
      <c r="F122" t="inlineStr">
        <is>
          <t>Riverside河岸 / Riverside河岸 / 支付成功</t>
        </is>
      </c>
      <c r="G122" t="inlineStr">
        <is>
          <t>账单导入/2026-07-05/extracted/微信/微信支付账单流水文件(20260405-20260705)——【解压密码可在微信支付公众号查看】.xlsx</t>
        </is>
      </c>
      <c r="H122" t="inlineStr">
        <is>
          <t>中</t>
        </is>
      </c>
      <c r="I122" t="inlineStr">
        <is>
          <t>个人/公司归属不明确，请确认</t>
        </is>
      </c>
      <c r="J122" t="inlineStr">
        <is>
          <t>待确认</t>
        </is>
      </c>
      <c r="K122" t="inlineStr"/>
      <c r="L122" t="inlineStr">
        <is>
          <t>bceeb349003f28c5</t>
        </is>
      </c>
      <c r="M122" t="inlineStr">
        <is>
          <t>20260705-174222-auto-bills</t>
        </is>
      </c>
      <c r="N122" t="inlineStr">
        <is>
          <t>2026-06-05 12:10:32 | 商户消费 | Riverside河岸 | Riverside河岸 | 支出 | 96 | 零钱 | 支付成功 | 4200003111202606052680136456 | 7895216538778338 | /</t>
        </is>
      </c>
    </row>
    <row r="123">
      <c r="A123" t="inlineStr">
        <is>
          <t>2026-06-05</t>
        </is>
      </c>
      <c r="B123" t="inlineStr">
        <is>
          <t>微信</t>
        </is>
      </c>
      <c r="C123" t="inlineStr">
        <is>
          <t>收入</t>
        </is>
      </c>
      <c r="D123" t="n">
        <v>160</v>
      </c>
      <c r="E123" t="inlineStr">
        <is>
          <t>待分类</t>
        </is>
      </c>
      <c r="F123" t="inlineStr">
        <is>
          <t>Updown (Updown) / 收款方备注:二维码收款 / 已收钱</t>
        </is>
      </c>
      <c r="G123" t="inlineStr">
        <is>
          <t>账单导入/2026-07-05/extracted/微信/微信支付账单流水文件(20260405-20260705)——【解压密码可在微信支付公众号查看】.xlsx</t>
        </is>
      </c>
      <c r="H123" t="inlineStr">
        <is>
          <t>中</t>
        </is>
      </c>
      <c r="I123" t="inlineStr">
        <is>
          <t>个人/公司归属不明确，请确认</t>
        </is>
      </c>
      <c r="J123" t="inlineStr">
        <is>
          <t>待确认</t>
        </is>
      </c>
      <c r="K123" t="inlineStr"/>
      <c r="L123" t="inlineStr">
        <is>
          <t>9d8dbfbc053db150</t>
        </is>
      </c>
      <c r="M123" t="inlineStr">
        <is>
          <t>20260705-174222-auto-bills</t>
        </is>
      </c>
      <c r="N123" t="inlineStr">
        <is>
          <t>2026-06-05 16:09:47 | 二维码收款 | Updown (Updown) | 收款方备注:二维码收款 | 收入 | 160 | 零钱 | 已收钱 | 10001073012026060501755163581501 | / | /</t>
        </is>
      </c>
    </row>
    <row r="124">
      <c r="A124" t="inlineStr">
        <is>
          <t>2026-06-05</t>
        </is>
      </c>
      <c r="B124" t="inlineStr">
        <is>
          <t>微信</t>
        </is>
      </c>
      <c r="C124" t="inlineStr">
        <is>
          <t>收入</t>
        </is>
      </c>
      <c r="D124" t="n">
        <v>200</v>
      </c>
      <c r="E124" t="inlineStr">
        <is>
          <t>待分类</t>
        </is>
      </c>
      <c r="F124" t="inlineStr">
        <is>
          <t>陈晨 (陈晨) / 转账备注:交通补贴费 / 已存入零钱</t>
        </is>
      </c>
      <c r="G124" t="inlineStr">
        <is>
          <t>账单导入/2026-07-05/extracted/微信/微信支付账单流水文件(20260405-20260705)——【解压密码可在微信支付公众号查看】.xlsx</t>
        </is>
      </c>
      <c r="H124" t="inlineStr">
        <is>
          <t>中</t>
        </is>
      </c>
      <c r="I124" t="inlineStr">
        <is>
          <t>个人/公司归属不明确，请确认</t>
        </is>
      </c>
      <c r="J124" t="inlineStr">
        <is>
          <t>待确认</t>
        </is>
      </c>
      <c r="K124" t="inlineStr"/>
      <c r="L124" t="inlineStr">
        <is>
          <t>eed347865ed3e099</t>
        </is>
      </c>
      <c r="M124" t="inlineStr">
        <is>
          <t>20260705-174222-auto-bills</t>
        </is>
      </c>
      <c r="N124" t="inlineStr">
        <is>
          <t>2026-06-05 12:50:37 | 转账 | 陈晨 (陈晨) | 转账备注:交通补贴费 | 收入 | 200 | / | 已存入零钱 | 1000050001202606050625257955695 | / | /</t>
        </is>
      </c>
    </row>
    <row r="125">
      <c r="A125" t="inlineStr">
        <is>
          <t>2026-06-05</t>
        </is>
      </c>
      <c r="B125" t="inlineStr">
        <is>
          <t>微信</t>
        </is>
      </c>
      <c r="C125" t="inlineStr">
        <is>
          <t>成本</t>
        </is>
      </c>
      <c r="D125" t="n">
        <v>1050</v>
      </c>
      <c r="E125" t="inlineStr">
        <is>
          <t>购买费用</t>
        </is>
      </c>
      <c r="F125" t="inlineStr">
        <is>
          <t>闲鱼用户新雨电器 / 小米65寸4K网络电视机 / 支付成功</t>
        </is>
      </c>
      <c r="G125" t="inlineStr">
        <is>
          <t>账单导入/2026-07-05/extracted/微信/微信支付账单流水文件(20260405-20260705)——【解压密码可在微信支付公众号查看】.xlsx</t>
        </is>
      </c>
      <c r="H125" t="inlineStr">
        <is>
          <t>中</t>
        </is>
      </c>
      <c r="I125" t="inlineStr">
        <is>
          <t>疑似公司交易，请确认用途</t>
        </is>
      </c>
      <c r="J125" t="inlineStr">
        <is>
          <t>待确认</t>
        </is>
      </c>
      <c r="K125" t="inlineStr"/>
      <c r="L125" t="inlineStr">
        <is>
          <t>22e83c110448bebf</t>
        </is>
      </c>
      <c r="M125" t="inlineStr">
        <is>
          <t>20260705-174222-auto-bills</t>
        </is>
      </c>
      <c r="N125" t="inlineStr">
        <is>
          <t>2026-06-05 14:08:50 | 消费-其他 | 闲鱼用户新雨电器 | 小米65寸4K网络电视机 | 支出 | 1050 | 零钱 | 支付成功 | 4500000164202606056958466419 | 11140600726060524057813232827 | /</t>
        </is>
      </c>
    </row>
    <row r="126">
      <c r="A126" t="inlineStr">
        <is>
          <t>2026-06-06</t>
        </is>
      </c>
      <c r="B126" t="inlineStr">
        <is>
          <t>微信</t>
        </is>
      </c>
      <c r="C126" t="inlineStr">
        <is>
          <t>收入</t>
        </is>
      </c>
      <c r="D126" t="n">
        <v>2.76</v>
      </c>
      <c r="E126" t="inlineStr">
        <is>
          <t>待分类</t>
        </is>
      </c>
      <c r="F126" t="inlineStr">
        <is>
          <t>罗诗怡 / / / 已存入零钱</t>
        </is>
      </c>
      <c r="G126" t="inlineStr">
        <is>
          <t>账单导入/2026-07-05/extracted/微信/微信支付账单流水文件(20260405-20260705)——【解压密码可在微信支付公众号查看】.xlsx</t>
        </is>
      </c>
      <c r="H126" t="inlineStr">
        <is>
          <t>中</t>
        </is>
      </c>
      <c r="I126" t="inlineStr">
        <is>
          <t>个人/公司归属不明确，请确认</t>
        </is>
      </c>
      <c r="J126" t="inlineStr">
        <is>
          <t>待确认</t>
        </is>
      </c>
      <c r="K126" t="inlineStr"/>
      <c r="L126" t="inlineStr">
        <is>
          <t>12c3ce674bef628d</t>
        </is>
      </c>
      <c r="M126" t="inlineStr">
        <is>
          <t>20260705-174222-auto-bills</t>
        </is>
      </c>
      <c r="N126" t="inlineStr">
        <is>
          <t>2026-06-06 09:09:41 | 微信红包 | 罗诗怡 | / | 收入 | 2.76 | / | 已存入零钱 | 1000039801004606056131607763051 | 1000039801202606056131607763051 | /</t>
        </is>
      </c>
    </row>
    <row r="127">
      <c r="A127" t="inlineStr">
        <is>
          <t>2026-06-06</t>
        </is>
      </c>
      <c r="B127" t="inlineStr">
        <is>
          <t>微信</t>
        </is>
      </c>
      <c r="C127" t="inlineStr">
        <is>
          <t>成本</t>
        </is>
      </c>
      <c r="D127" t="n">
        <v>13</v>
      </c>
      <c r="E127" t="inlineStr">
        <is>
          <t>购买费用</t>
        </is>
      </c>
      <c r="F127" t="inlineStr">
        <is>
          <t>大夏 (大夏) / 转账备注:快递费 / 对方已收钱</t>
        </is>
      </c>
      <c r="G127" t="inlineStr">
        <is>
          <t>账单导入/2026-07-05/extracted/微信/微信支付账单流水文件(20260405-20260705)——【解压密码可在微信支付公众号查看】.xlsx</t>
        </is>
      </c>
      <c r="H127" t="inlineStr">
        <is>
          <t>中</t>
        </is>
      </c>
      <c r="I127" t="inlineStr">
        <is>
          <t>疑似公司交易，请确认用途</t>
        </is>
      </c>
      <c r="J127" t="inlineStr">
        <is>
          <t>待确认</t>
        </is>
      </c>
      <c r="K127" t="inlineStr"/>
      <c r="L127" t="inlineStr">
        <is>
          <t>320190552bf3e57d</t>
        </is>
      </c>
      <c r="M127" t="inlineStr">
        <is>
          <t>20260705-174222-auto-bills</t>
        </is>
      </c>
      <c r="N127" t="inlineStr">
        <is>
          <t>2026-06-06 11:51:40 | 转账 | 大夏 (大夏) | 转账备注:快递费 | 支出 | 13 | 零钱 | 对方已收钱 | 53010003056188202606063955459103 | 1000050001202606060037539300055 | /</t>
        </is>
      </c>
    </row>
    <row r="128">
      <c r="A128" t="inlineStr">
        <is>
          <t>2026-06-06</t>
        </is>
      </c>
      <c r="B128" t="inlineStr">
        <is>
          <t>微信</t>
        </is>
      </c>
      <c r="C128" t="inlineStr">
        <is>
          <t>支出</t>
        </is>
      </c>
      <c r="D128" t="n">
        <v>69</v>
      </c>
      <c r="E128" t="inlineStr">
        <is>
          <t>待分类</t>
        </is>
      </c>
      <c r="F128" t="inlineStr">
        <is>
          <t>陶德砂锅阳光新业店 / 【堂食】_陶德砂锅阳光新业店_270780_11_无_无 / 支付成功</t>
        </is>
      </c>
      <c r="G128" t="inlineStr">
        <is>
          <t>账单导入/2026-07-05/extracted/微信/微信支付账单流水文件(20260405-20260705)——【解压密码可在微信支付公众号查看】.xlsx</t>
        </is>
      </c>
      <c r="H128" t="inlineStr">
        <is>
          <t>中</t>
        </is>
      </c>
      <c r="I128" t="inlineStr">
        <is>
          <t>个人/公司归属不明确，请确认</t>
        </is>
      </c>
      <c r="J128" t="inlineStr">
        <is>
          <t>待确认</t>
        </is>
      </c>
      <c r="K128" t="inlineStr"/>
      <c r="L128" t="inlineStr">
        <is>
          <t>dadca0a0cec41ccc</t>
        </is>
      </c>
      <c r="M128" t="inlineStr">
        <is>
          <t>20260705-174222-auto-bills</t>
        </is>
      </c>
      <c r="N128" t="inlineStr">
        <is>
          <t>2026-06-06 22:05:57 | 商户消费 | 陶德砂锅阳光新业店 | 【堂食】_陶德砂锅阳光新业店_270780_11_无_无 | 支出 | 69 | 零钱 | 支付成功 | 4200003061202606068271445624 | 260606115904161369 | /</t>
        </is>
      </c>
    </row>
    <row r="129">
      <c r="A129" t="inlineStr">
        <is>
          <t>2026-06-06</t>
        </is>
      </c>
      <c r="B129" t="inlineStr">
        <is>
          <t>微信</t>
        </is>
      </c>
      <c r="C129" t="inlineStr">
        <is>
          <t>支出</t>
        </is>
      </c>
      <c r="D129" t="n">
        <v>99</v>
      </c>
      <c r="E129" t="inlineStr">
        <is>
          <t>待分类</t>
        </is>
      </c>
      <c r="F129" t="inlineStr">
        <is>
          <t>小口袋 (小口袋) / 转账备注:微信转账 / 对方已收钱</t>
        </is>
      </c>
      <c r="G129" t="inlineStr">
        <is>
          <t>账单导入/2026-07-05/extracted/微信/微信支付账单流水文件(20260405-20260705)——【解压密码可在微信支付公众号查看】.xlsx</t>
        </is>
      </c>
      <c r="H129" t="inlineStr">
        <is>
          <t>中</t>
        </is>
      </c>
      <c r="I129" t="inlineStr">
        <is>
          <t>个人/公司归属不明确，请确认</t>
        </is>
      </c>
      <c r="J129" t="inlineStr">
        <is>
          <t>待确认</t>
        </is>
      </c>
      <c r="K129" t="inlineStr"/>
      <c r="L129" t="inlineStr">
        <is>
          <t>a76ee642d4d7456a</t>
        </is>
      </c>
      <c r="M129" t="inlineStr">
        <is>
          <t>20260705-174222-auto-bills</t>
        </is>
      </c>
      <c r="N129" t="inlineStr">
        <is>
          <t>2026-06-06 18:27:58 | 转账 | 小口袋 (小口袋) | 转账备注:微信转账 | 支出 | 99 | 零钱 | 对方已收钱 | 53010003150171202606061679051462 | 1000050001202606060139785455901 | /</t>
        </is>
      </c>
    </row>
    <row r="130">
      <c r="A130" t="inlineStr">
        <is>
          <t>2026-06-06</t>
        </is>
      </c>
      <c r="B130" t="inlineStr">
        <is>
          <t>微信</t>
        </is>
      </c>
      <c r="C130" t="inlineStr">
        <is>
          <t>收入</t>
        </is>
      </c>
      <c r="D130" t="n">
        <v>160</v>
      </c>
      <c r="E130" t="inlineStr">
        <is>
          <t>待分类</t>
        </is>
      </c>
      <c r="F130" t="inlineStr">
        <is>
          <t>墨绿的夜. (墨绿的夜.) / 转账备注:微信转账 / 已存入零钱</t>
        </is>
      </c>
      <c r="G130" t="inlineStr">
        <is>
          <t>账单导入/2026-07-05/extracted/微信/微信支付账单流水文件(20260405-20260705)——【解压密码可在微信支付公众号查看】.xlsx</t>
        </is>
      </c>
      <c r="H130" t="inlineStr">
        <is>
          <t>中</t>
        </is>
      </c>
      <c r="I130" t="inlineStr">
        <is>
          <t>个人/公司归属不明确，请确认</t>
        </is>
      </c>
      <c r="J130" t="inlineStr">
        <is>
          <t>待确认</t>
        </is>
      </c>
      <c r="K130" t="inlineStr"/>
      <c r="L130" t="inlineStr">
        <is>
          <t>e86e5ad2952238af</t>
        </is>
      </c>
      <c r="M130" t="inlineStr">
        <is>
          <t>20260705-174222-auto-bills</t>
        </is>
      </c>
      <c r="N130" t="inlineStr">
        <is>
          <t>2026-06-06 20:25:39 | 转账 | 墨绿的夜. (墨绿的夜.) | 转账备注:微信转账 | 收入 | 160 | / | 已存入零钱 | 1000050001202606060626506713679 | / | /</t>
        </is>
      </c>
    </row>
    <row r="131">
      <c r="A131" t="inlineStr">
        <is>
          <t>2026-06-06</t>
        </is>
      </c>
      <c r="B131" t="inlineStr">
        <is>
          <t>招商银行</t>
        </is>
      </c>
      <c r="C131" t="inlineStr">
        <is>
          <t>支出</t>
        </is>
      </c>
      <c r="D131" t="n">
        <v>46.9</v>
      </c>
      <c r="E131" t="inlineStr">
        <is>
          <t>购买费用</t>
        </is>
      </c>
      <c r="F131" t="inlineStr">
        <is>
          <t>CNY -  银联快捷支付 抖音月付</t>
        </is>
      </c>
      <c r="G131" t="inlineStr">
        <is>
          <t>账单导入/2026-07-05/extracted/招商银行/招商银行交易流水(申请时间2026年07月05日15时41分46秒).pdf</t>
        </is>
      </c>
      <c r="H131" t="inlineStr">
        <is>
          <t>中</t>
        </is>
      </c>
      <c r="I131" t="inlineStr">
        <is>
          <t>疑似公司交易，请确认用途</t>
        </is>
      </c>
      <c r="J131" t="inlineStr">
        <is>
          <t>待确认</t>
        </is>
      </c>
      <c r="K131" t="inlineStr"/>
      <c r="L131" t="inlineStr">
        <is>
          <t>f5daa59d14fe1c9f</t>
        </is>
      </c>
      <c r="M131" t="inlineStr">
        <is>
          <t>20260705-174222-auto-bills</t>
        </is>
      </c>
      <c r="N131" t="inlineStr">
        <is>
          <t>2026-06-06 CNY -46.90 6,212.13 银联快捷支付 抖音月付</t>
        </is>
      </c>
    </row>
    <row r="132">
      <c r="A132" t="inlineStr">
        <is>
          <t>2026-06-06</t>
        </is>
      </c>
      <c r="B132" t="inlineStr">
        <is>
          <t>招商银行</t>
        </is>
      </c>
      <c r="C132" t="inlineStr">
        <is>
          <t>成本</t>
        </is>
      </c>
      <c r="D132" t="n">
        <v>1298.28</v>
      </c>
      <c r="E132" t="inlineStr">
        <is>
          <t>购买费用</t>
        </is>
      </c>
      <c r="F132" t="inlineStr">
        <is>
          <t>CNY -  银联无卡自助消费 （特约）美团</t>
        </is>
      </c>
      <c r="G132" t="inlineStr">
        <is>
          <t>账单导入/2026-07-05/extracted/招商银行/招商银行交易流水(申请时间2026年07月05日15时41分46秒).pdf</t>
        </is>
      </c>
      <c r="H132" t="inlineStr">
        <is>
          <t>中</t>
        </is>
      </c>
      <c r="I132" t="inlineStr">
        <is>
          <t>疑似公司交易，请确认用途</t>
        </is>
      </c>
      <c r="J132" t="inlineStr">
        <is>
          <t>待确认</t>
        </is>
      </c>
      <c r="K132" t="inlineStr"/>
      <c r="L132" t="inlineStr">
        <is>
          <t>ea895ccc978b8f0b</t>
        </is>
      </c>
      <c r="M132" t="inlineStr">
        <is>
          <t>20260705-174222-auto-bills</t>
        </is>
      </c>
      <c r="N132" t="inlineStr">
        <is>
          <t>2026-06-06 CNY -1,298.28 6,259.03 银联无卡自助消费 （特约）美团</t>
        </is>
      </c>
    </row>
    <row r="133">
      <c r="A133" t="inlineStr">
        <is>
          <t>2026-06-07</t>
        </is>
      </c>
      <c r="B133" t="inlineStr">
        <is>
          <t>微信</t>
        </is>
      </c>
      <c r="C133" t="inlineStr">
        <is>
          <t>收入</t>
        </is>
      </c>
      <c r="D133" t="n">
        <v>3</v>
      </c>
      <c r="E133" t="inlineStr">
        <is>
          <t>待分类</t>
        </is>
      </c>
      <c r="F133" t="inlineStr">
        <is>
          <t>罗传朝丨锦江店 / 收款方备注:二维码收款 / 已转账</t>
        </is>
      </c>
      <c r="G133" t="inlineStr">
        <is>
          <t>账单导入/2026-07-05/extracted/微信/微信支付账单流水文件(20260405-20260705)——【解压密码可在微信支付公众号查看】.xlsx</t>
        </is>
      </c>
      <c r="H133" t="inlineStr">
        <is>
          <t>中</t>
        </is>
      </c>
      <c r="I133" t="inlineStr">
        <is>
          <t>个人/公司归属不明确，请确认</t>
        </is>
      </c>
      <c r="J133" t="inlineStr">
        <is>
          <t>待确认</t>
        </is>
      </c>
      <c r="K133" t="inlineStr"/>
      <c r="L133" t="inlineStr">
        <is>
          <t>2728c6028c4f0ca3</t>
        </is>
      </c>
      <c r="M133" t="inlineStr">
        <is>
          <t>20260705-174222-auto-bills</t>
        </is>
      </c>
      <c r="N133" t="inlineStr">
        <is>
          <t>2026-06-07 16:30:31 | 扫二维码付款 | 罗传朝丨锦江店 | 收款方备注:二维码收款 | 支出 | 3 | 零钱 | 已转账 | 53110001853142202606071254609314 | 10001073012026060701868365644569 | /</t>
        </is>
      </c>
    </row>
    <row r="134">
      <c r="A134" t="inlineStr">
        <is>
          <t>2026-06-07</t>
        </is>
      </c>
      <c r="B134" t="inlineStr">
        <is>
          <t>微信</t>
        </is>
      </c>
      <c r="C134" t="inlineStr">
        <is>
          <t>支出</t>
        </is>
      </c>
      <c r="D134" t="n">
        <v>10</v>
      </c>
      <c r="E134" t="inlineStr">
        <is>
          <t>待分类</t>
        </is>
      </c>
      <c r="F134" t="inlineStr">
        <is>
          <t>老牛鸳鸯抄手 / 老牛鸳鸯抄手 / 支付成功</t>
        </is>
      </c>
      <c r="G134" t="inlineStr">
        <is>
          <t>账单导入/2026-07-05/extracted/微信/微信支付账单流水文件(20260405-20260705)——【解压密码可在微信支付公众号查看】.xlsx</t>
        </is>
      </c>
      <c r="H134" t="inlineStr">
        <is>
          <t>中</t>
        </is>
      </c>
      <c r="I134" t="inlineStr">
        <is>
          <t>个人/公司归属不明确，请确认</t>
        </is>
      </c>
      <c r="J134" t="inlineStr">
        <is>
          <t>待确认</t>
        </is>
      </c>
      <c r="K134" t="inlineStr"/>
      <c r="L134" t="inlineStr">
        <is>
          <t>67219d5f4811d32d</t>
        </is>
      </c>
      <c r="M134" t="inlineStr">
        <is>
          <t>20260705-174222-auto-bills</t>
        </is>
      </c>
      <c r="N134" t="inlineStr">
        <is>
          <t>2026-06-07 19:52:06 | 商户消费 | 老牛鸳鸯抄手 | 老牛鸳鸯抄手 | 支出 | 10 | 零钱 | 支付成功 | 4500000197202606074309066182 | 7895216599376380 | /</t>
        </is>
      </c>
    </row>
    <row r="135">
      <c r="A135" t="inlineStr">
        <is>
          <t>2026-06-07</t>
        </is>
      </c>
      <c r="B135" t="inlineStr">
        <is>
          <t>微信</t>
        </is>
      </c>
      <c r="C135" t="inlineStr">
        <is>
          <t>支出</t>
        </is>
      </c>
      <c r="D135" t="n">
        <v>18</v>
      </c>
      <c r="E135" t="inlineStr">
        <is>
          <t>待分类</t>
        </is>
      </c>
      <c r="F135" t="inlineStr">
        <is>
          <t>aikofan / / / 支付成功</t>
        </is>
      </c>
      <c r="G135" t="inlineStr">
        <is>
          <t>账单导入/2026-07-05/extracted/微信/微信支付账单流水文件(20260405-20260705)——【解压密码可在微信支付公众号查看】.xlsx</t>
        </is>
      </c>
      <c r="H135" t="inlineStr">
        <is>
          <t>中</t>
        </is>
      </c>
      <c r="I135" t="inlineStr">
        <is>
          <t>个人/公司归属不明确，请确认</t>
        </is>
      </c>
      <c r="J135" t="inlineStr">
        <is>
          <t>待确认</t>
        </is>
      </c>
      <c r="K135" t="inlineStr"/>
      <c r="L135" t="inlineStr">
        <is>
          <t>8f50979ded0a8587</t>
        </is>
      </c>
      <c r="M135" t="inlineStr">
        <is>
          <t>20260705-174222-auto-bills</t>
        </is>
      </c>
      <c r="N135" t="inlineStr">
        <is>
          <t>2026-06-07 19:44:11 | 商户消费 | aikofan | / | 支出 | 18 | 零钱 | 支付成功 | 4500000184202606072450348133 | 10359514652217808326460175927001 | /</t>
        </is>
      </c>
    </row>
    <row r="136">
      <c r="A136" t="inlineStr">
        <is>
          <t>2026-06-07</t>
        </is>
      </c>
      <c r="B136" t="inlineStr">
        <is>
          <t>微信</t>
        </is>
      </c>
      <c r="C136" t="inlineStr">
        <is>
          <t>支出</t>
        </is>
      </c>
      <c r="D136" t="n">
        <v>24</v>
      </c>
      <c r="E136" t="inlineStr">
        <is>
          <t>待分类</t>
        </is>
      </c>
      <c r="F136" t="inlineStr">
        <is>
          <t>老牛鸳鸯抄手 / 老牛鸳鸯抄手 / 支付成功</t>
        </is>
      </c>
      <c r="G136" t="inlineStr">
        <is>
          <t>账单导入/2026-07-05/extracted/微信/微信支付账单流水文件(20260405-20260705)——【解压密码可在微信支付公众号查看】.xlsx</t>
        </is>
      </c>
      <c r="H136" t="inlineStr">
        <is>
          <t>中</t>
        </is>
      </c>
      <c r="I136" t="inlineStr">
        <is>
          <t>个人/公司归属不明确，请确认</t>
        </is>
      </c>
      <c r="J136" t="inlineStr">
        <is>
          <t>待确认</t>
        </is>
      </c>
      <c r="K136" t="inlineStr"/>
      <c r="L136" t="inlineStr">
        <is>
          <t>848a46e19dc45e2a</t>
        </is>
      </c>
      <c r="M136" t="inlineStr">
        <is>
          <t>20260705-174222-auto-bills</t>
        </is>
      </c>
      <c r="N136" t="inlineStr">
        <is>
          <t>2026-06-07 19:40:22 | 商户消费 | 老牛鸳鸯抄手 | 老牛鸳鸯抄手 | 支出 | 24 | 零钱 | 支付成功 | 4500000194202606071489578521 | 7895081597154919 | /</t>
        </is>
      </c>
    </row>
    <row r="137">
      <c r="A137" t="inlineStr">
        <is>
          <t>2026-06-07</t>
        </is>
      </c>
      <c r="B137" t="inlineStr">
        <is>
          <t>微信</t>
        </is>
      </c>
      <c r="C137" t="inlineStr">
        <is>
          <t>支出</t>
        </is>
      </c>
      <c r="D137" t="n">
        <v>45.12</v>
      </c>
      <c r="E137" t="inlineStr">
        <is>
          <t>待分类</t>
        </is>
      </c>
      <c r="F137" t="inlineStr">
        <is>
          <t>大米先生 / 【称重】_大米先生东大街餐厅_124601_01080524 / 支付成功</t>
        </is>
      </c>
      <c r="G137" t="inlineStr">
        <is>
          <t>账单导入/2026-07-05/extracted/微信/微信支付账单流水文件(20260405-20260705)——【解压密码可在微信支付公众号查看】.xlsx</t>
        </is>
      </c>
      <c r="H137" t="inlineStr">
        <is>
          <t>中</t>
        </is>
      </c>
      <c r="I137" t="inlineStr">
        <is>
          <t>疑似个人交易，请确认是否排除</t>
        </is>
      </c>
      <c r="J137" t="inlineStr">
        <is>
          <t>待确认</t>
        </is>
      </c>
      <c r="K137" t="inlineStr"/>
      <c r="L137" t="inlineStr">
        <is>
          <t>94f61d9313c86937</t>
        </is>
      </c>
      <c r="M137" t="inlineStr">
        <is>
          <t>20260705-174222-auto-bills</t>
        </is>
      </c>
      <c r="N137" t="inlineStr">
        <is>
          <t>2026-06-07 12:55:16 | 商户消费 | 大米先生 | 【称重】_大米先生东大街餐厅_124601_01080524 | 支出 | 45.12 | 零钱 | 支付成功 | 4200003155202606075779420536 | 20260607110113130166232363302564 | /</t>
        </is>
      </c>
    </row>
    <row r="138">
      <c r="A138" t="inlineStr">
        <is>
          <t>2026-06-08</t>
        </is>
      </c>
      <c r="B138" t="inlineStr">
        <is>
          <t>微信</t>
        </is>
      </c>
      <c r="C138" t="inlineStr">
        <is>
          <t>支出</t>
        </is>
      </c>
      <c r="D138" t="n">
        <v>8.800000000000001</v>
      </c>
      <c r="E138" t="inlineStr">
        <is>
          <t>待分类</t>
        </is>
      </c>
      <c r="F138" t="inlineStr">
        <is>
          <t>大米先生 / 【付费会员卡】_大米先生东大街餐厅_124601_01080524_川-成都88 / 支付成功</t>
        </is>
      </c>
      <c r="G138" t="inlineStr">
        <is>
          <t>账单导入/2026-07-05/extracted/微信/微信支付账单流水文件(20260405-20260705)——【解压密码可在微信支付公众号查看】.xlsx</t>
        </is>
      </c>
      <c r="H138" t="inlineStr">
        <is>
          <t>中</t>
        </is>
      </c>
      <c r="I138" t="inlineStr">
        <is>
          <t>疑似个人交易，请确认是否排除</t>
        </is>
      </c>
      <c r="J138" t="inlineStr">
        <is>
          <t>待确认</t>
        </is>
      </c>
      <c r="K138" t="inlineStr"/>
      <c r="L138" t="inlineStr">
        <is>
          <t>8263f0bb0b58f048</t>
        </is>
      </c>
      <c r="M138" t="inlineStr">
        <is>
          <t>20260705-174222-auto-bills</t>
        </is>
      </c>
      <c r="N138" t="inlineStr">
        <is>
          <t>2026-06-08 13:08:00 | 商户消费 | 大米先生 | 【付费会员卡】_大米先生东大街餐厅_124601_01080524_川-成都88 | 支出 | 8.8 | 零钱 | 支付成功 | 4500000178202606081613762538 | 20260608110113130266232367909604 | /</t>
        </is>
      </c>
    </row>
    <row r="139">
      <c r="A139" t="inlineStr">
        <is>
          <t>2026-06-08</t>
        </is>
      </c>
      <c r="B139" t="inlineStr">
        <is>
          <t>微信</t>
        </is>
      </c>
      <c r="C139" t="inlineStr">
        <is>
          <t>支出</t>
        </is>
      </c>
      <c r="D139" t="n">
        <v>42.74</v>
      </c>
      <c r="E139" t="inlineStr">
        <is>
          <t>待分类</t>
        </is>
      </c>
      <c r="F139" t="inlineStr">
        <is>
          <t>大米先生 / 【称重】_大米先生东大街餐厅_124601_01080524 / 支付成功</t>
        </is>
      </c>
      <c r="G139" t="inlineStr">
        <is>
          <t>账单导入/2026-07-05/extracted/微信/微信支付账单流水文件(20260405-20260705)——【解压密码可在微信支付公众号查看】.xlsx</t>
        </is>
      </c>
      <c r="H139" t="inlineStr">
        <is>
          <t>中</t>
        </is>
      </c>
      <c r="I139" t="inlineStr">
        <is>
          <t>疑似个人交易，请确认是否排除</t>
        </is>
      </c>
      <c r="J139" t="inlineStr">
        <is>
          <t>待确认</t>
        </is>
      </c>
      <c r="K139" t="inlineStr"/>
      <c r="L139" t="inlineStr">
        <is>
          <t>94c1e2d105b7c31c</t>
        </is>
      </c>
      <c r="M139" t="inlineStr">
        <is>
          <t>20260705-174222-auto-bills</t>
        </is>
      </c>
      <c r="N139" t="inlineStr">
        <is>
          <t>2026-06-08 13:11:00 | 商户消费 | 大米先生 | 【称重】_大米先生东大街餐厅_124601_01080524 | 支出 | 42.74 | 零钱 | 支付成功 | 4200003047202606086611408921 | 20260608110113130166232367864284 | /</t>
        </is>
      </c>
    </row>
    <row r="140">
      <c r="A140" t="inlineStr">
        <is>
          <t>2026-06-08</t>
        </is>
      </c>
      <c r="B140" t="inlineStr">
        <is>
          <t>微信</t>
        </is>
      </c>
      <c r="C140" t="inlineStr">
        <is>
          <t>收入</t>
        </is>
      </c>
      <c r="D140" t="n">
        <v>96</v>
      </c>
      <c r="E140" t="inlineStr">
        <is>
          <t>待分类</t>
        </is>
      </c>
      <c r="F140" t="inlineStr">
        <is>
          <t>爱吃DQ的仓鼠🐹 (爱吃DQ的仓鼠🐹) / 转账备注:试妆花材 / 已存入零钱</t>
        </is>
      </c>
      <c r="G140" t="inlineStr">
        <is>
          <t>账单导入/2026-07-05/extracted/微信/微信支付账单流水文件(20260405-20260705)——【解压密码可在微信支付公众号查看】.xlsx</t>
        </is>
      </c>
      <c r="H140" t="inlineStr">
        <is>
          <t>中</t>
        </is>
      </c>
      <c r="I140" t="inlineStr">
        <is>
          <t>疑似公司交易，请确认用途</t>
        </is>
      </c>
      <c r="J140" t="inlineStr">
        <is>
          <t>待确认</t>
        </is>
      </c>
      <c r="K140" t="inlineStr"/>
      <c r="L140" t="inlineStr">
        <is>
          <t>ec6fcfdb40c335ec</t>
        </is>
      </c>
      <c r="M140" t="inlineStr">
        <is>
          <t>20260705-174222-auto-bills</t>
        </is>
      </c>
      <c r="N140" t="inlineStr">
        <is>
          <t>2026-06-08 09:48:10 | 转账 | 爱吃DQ的仓鼠🐹 (爱吃DQ的仓鼠🐹) | 转账备注:试妆花材 | 收入 | 96 | / | 已存入零钱 | 1000050001202606080224245757341 | / | /</t>
        </is>
      </c>
    </row>
    <row r="141">
      <c r="A141" t="inlineStr">
        <is>
          <t>2026-06-08</t>
        </is>
      </c>
      <c r="B141" t="inlineStr">
        <is>
          <t>微信</t>
        </is>
      </c>
      <c r="C141" t="inlineStr">
        <is>
          <t>支出</t>
        </is>
      </c>
      <c r="D141" t="n">
        <v>197</v>
      </c>
      <c r="E141" t="inlineStr">
        <is>
          <t>待分类</t>
        </is>
      </c>
      <c r="F141" t="inlineStr">
        <is>
          <t>云南把把烧广场店 / / / 支付成功</t>
        </is>
      </c>
      <c r="G141" t="inlineStr">
        <is>
          <t>账单导入/2026-07-05/extracted/微信/微信支付账单流水文件(20260405-20260705)——【解压密码可在微信支付公众号查看】.xlsx</t>
        </is>
      </c>
      <c r="H141" t="inlineStr">
        <is>
          <t>中</t>
        </is>
      </c>
      <c r="I141" t="inlineStr">
        <is>
          <t>个人/公司归属不明确，请确认</t>
        </is>
      </c>
      <c r="J141" t="inlineStr">
        <is>
          <t>待确认</t>
        </is>
      </c>
      <c r="K141" t="inlineStr"/>
      <c r="L141" t="inlineStr">
        <is>
          <t>771e9367039dff85</t>
        </is>
      </c>
      <c r="M141" t="inlineStr">
        <is>
          <t>20260705-174222-auto-bills</t>
        </is>
      </c>
      <c r="N141" t="inlineStr">
        <is>
          <t>2026-06-08 23:52:02 | 商户消费 | 云南把把烧广场店 | / | 支出 | 197 | 零钱 | 支付成功 | 4500000224202606089515518024 | 10359518451917809339150187673501 | /</t>
        </is>
      </c>
    </row>
    <row r="142">
      <c r="A142" t="inlineStr">
        <is>
          <t>2026-06-08</t>
        </is>
      </c>
      <c r="B142" t="inlineStr">
        <is>
          <t>微信</t>
        </is>
      </c>
      <c r="C142" t="inlineStr">
        <is>
          <t>支出</t>
        </is>
      </c>
      <c r="D142" t="n">
        <v>500</v>
      </c>
      <c r="E142" t="inlineStr">
        <is>
          <t>待分类</t>
        </is>
      </c>
      <c r="F142" t="inlineStr">
        <is>
          <t>大米先生 / 【储值】_大米先生东大街餐厅_124601_01080524_500送35元 / 支付成功</t>
        </is>
      </c>
      <c r="G142" t="inlineStr">
        <is>
          <t>账单导入/2026-07-05/extracted/微信/微信支付账单流水文件(20260405-20260705)——【解压密码可在微信支付公众号查看】.xlsx</t>
        </is>
      </c>
      <c r="H142" t="inlineStr">
        <is>
          <t>中</t>
        </is>
      </c>
      <c r="I142" t="inlineStr">
        <is>
          <t>疑似个人交易，请确认是否排除</t>
        </is>
      </c>
      <c r="J142" t="inlineStr">
        <is>
          <t>待确认</t>
        </is>
      </c>
      <c r="K142" t="inlineStr"/>
      <c r="L142" t="inlineStr">
        <is>
          <t>1a7a2be35e8dd207</t>
        </is>
      </c>
      <c r="M142" t="inlineStr">
        <is>
          <t>20260705-174222-auto-bills</t>
        </is>
      </c>
      <c r="N142" t="inlineStr">
        <is>
          <t>2026-06-08 14:18:16 | 商户消费 | 大米先生 | 【储值】_大米先生东大街餐厅_124601_01080524_500送35元 | 支出 | 500 | 零钱 | 支付成功 | 4500000207202606085565754042 | 20260608110113130266232368067993 | /</t>
        </is>
      </c>
    </row>
    <row r="143">
      <c r="A143" t="inlineStr">
        <is>
          <t>2026-06-08</t>
        </is>
      </c>
      <c r="B143" t="inlineStr">
        <is>
          <t>招商银行</t>
        </is>
      </c>
      <c r="C143" t="inlineStr">
        <is>
          <t>支出</t>
        </is>
      </c>
      <c r="D143" t="n">
        <v>281.66</v>
      </c>
      <c r="E143" t="inlineStr">
        <is>
          <t>购买费用</t>
        </is>
      </c>
      <c r="F143" t="inlineStr">
        <is>
          <t>CNY -  快捷支付 1688平台商户交易</t>
        </is>
      </c>
      <c r="G143" t="inlineStr">
        <is>
          <t>账单导入/2026-07-05/extracted/招商银行/招商银行交易流水(申请时间2026年07月05日15时41分46秒).pdf</t>
        </is>
      </c>
      <c r="H143" t="inlineStr">
        <is>
          <t>中</t>
        </is>
      </c>
      <c r="I143" t="inlineStr">
        <is>
          <t>疑似公司交易，请确认用途</t>
        </is>
      </c>
      <c r="J143" t="inlineStr">
        <is>
          <t>待确认</t>
        </is>
      </c>
      <c r="K143" t="inlineStr"/>
      <c r="L143" t="inlineStr">
        <is>
          <t>68ccb640ee82b92d</t>
        </is>
      </c>
      <c r="M143" t="inlineStr">
        <is>
          <t>20260705-174222-auto-bills</t>
        </is>
      </c>
      <c r="N143" t="inlineStr">
        <is>
          <t>2026-06-08 CNY -281.66 5,930.47 快捷支付 1688平台商户交易</t>
        </is>
      </c>
    </row>
    <row r="144">
      <c r="A144" t="inlineStr">
        <is>
          <t>2026-06-09</t>
        </is>
      </c>
      <c r="B144" t="inlineStr">
        <is>
          <t>微信</t>
        </is>
      </c>
      <c r="C144" t="inlineStr">
        <is>
          <t>支出</t>
        </is>
      </c>
      <c r="D144" t="n">
        <v>50</v>
      </c>
      <c r="E144" t="inlineStr">
        <is>
          <t>待分类</t>
        </is>
      </c>
      <c r="F144" t="inlineStr">
        <is>
          <t>爱吃DQ的仓鼠🐹 (爱吃DQ的仓鼠🐹) / 转账备注:微信转账 / 对方已收钱</t>
        </is>
      </c>
      <c r="G144" t="inlineStr">
        <is>
          <t>账单导入/2026-07-05/extracted/微信/微信支付账单流水文件(20260405-20260705)——【解压密码可在微信支付公众号查看】.xlsx</t>
        </is>
      </c>
      <c r="H144" t="inlineStr">
        <is>
          <t>中</t>
        </is>
      </c>
      <c r="I144" t="inlineStr">
        <is>
          <t>个人/公司归属不明确，请确认</t>
        </is>
      </c>
      <c r="J144" t="inlineStr">
        <is>
          <t>待确认</t>
        </is>
      </c>
      <c r="K144" t="inlineStr"/>
      <c r="L144" t="inlineStr">
        <is>
          <t>6cb762298dd32391</t>
        </is>
      </c>
      <c r="M144" t="inlineStr">
        <is>
          <t>20260705-174222-auto-bills</t>
        </is>
      </c>
      <c r="N144" t="inlineStr">
        <is>
          <t>2026-06-09 15:43:08 | 转账 | 爱吃DQ的仓鼠🐹 (爱吃DQ的仓鼠🐹) | 转账备注:微信转账 | 支出 | 50 | 零钱 | 对方已收钱 | 53010003145087202606093718696716 | 1000050001202606090439398038931 | /</t>
        </is>
      </c>
    </row>
    <row r="145">
      <c r="A145" t="inlineStr">
        <is>
          <t>2026-06-09</t>
        </is>
      </c>
      <c r="B145" t="inlineStr">
        <is>
          <t>招商银行</t>
        </is>
      </c>
      <c r="C145" t="inlineStr">
        <is>
          <t>支出</t>
        </is>
      </c>
      <c r="D145" t="n">
        <v>200</v>
      </c>
      <c r="E145" t="inlineStr">
        <is>
          <t>待分类</t>
        </is>
      </c>
      <c r="F145" t="inlineStr">
        <is>
          <t>CNY -  快捷支付 蚂蚁（杭州）基金销售有限公司</t>
        </is>
      </c>
      <c r="G145" t="inlineStr">
        <is>
          <t>账单导入/2026-07-05/extracted/招商银行/招商银行交易流水(申请时间2026年07月05日15时41分46秒).pdf</t>
        </is>
      </c>
      <c r="H145" t="inlineStr">
        <is>
          <t>中</t>
        </is>
      </c>
      <c r="I145" t="inlineStr">
        <is>
          <t>个人/公司归属不明确，请确认</t>
        </is>
      </c>
      <c r="J145" t="inlineStr">
        <is>
          <t>待确认</t>
        </is>
      </c>
      <c r="K145" t="inlineStr"/>
      <c r="L145" t="inlineStr">
        <is>
          <t>e946c28590b4964f</t>
        </is>
      </c>
      <c r="M145" t="inlineStr">
        <is>
          <t>20260705-174222-auto-bills</t>
        </is>
      </c>
      <c r="N145" t="inlineStr">
        <is>
          <t>2026-06-09 CNY -200.00 5,730.47 快捷支付 蚂蚁（杭州）基金销售有限公司</t>
        </is>
      </c>
    </row>
    <row r="146">
      <c r="A146" t="inlineStr">
        <is>
          <t>2026-06-09</t>
        </is>
      </c>
      <c r="B146" t="inlineStr">
        <is>
          <t>招商银行</t>
        </is>
      </c>
      <c r="C146" t="inlineStr">
        <is>
          <t>待判断</t>
        </is>
      </c>
      <c r="D146" t="n">
        <v>240</v>
      </c>
      <c r="E146" t="inlineStr">
        <is>
          <t>待分类</t>
        </is>
      </c>
      <c r="F146" t="inlineStr">
        <is>
          <t>CNY   汇入汇款 李丹</t>
        </is>
      </c>
      <c r="G146" t="inlineStr">
        <is>
          <t>账单导入/2026-07-05/extracted/招商银行/招商银行交易流水(申请时间2026年07月05日15时41分46秒).pdf</t>
        </is>
      </c>
      <c r="H146" t="inlineStr">
        <is>
          <t>低</t>
        </is>
      </c>
      <c r="I146" t="inlineStr">
        <is>
          <t>个人/公司归属不明确，请确认</t>
        </is>
      </c>
      <c r="J146" t="inlineStr">
        <is>
          <t>待确认</t>
        </is>
      </c>
      <c r="K146" t="inlineStr"/>
      <c r="L146" t="inlineStr">
        <is>
          <t>117fe0170684c9aa</t>
        </is>
      </c>
      <c r="M146" t="inlineStr">
        <is>
          <t>20260705-174222-auto-bills</t>
        </is>
      </c>
      <c r="N146" t="inlineStr">
        <is>
          <t>2026-06-09 CNY 240.00 5,970.47 汇入汇款 李丹</t>
        </is>
      </c>
    </row>
    <row r="147">
      <c r="A147" t="inlineStr">
        <is>
          <t>2026-06-10</t>
        </is>
      </c>
      <c r="B147" t="inlineStr">
        <is>
          <t>微信</t>
        </is>
      </c>
      <c r="C147" t="inlineStr">
        <is>
          <t>收入</t>
        </is>
      </c>
      <c r="D147" t="n">
        <v>14</v>
      </c>
      <c r="E147" t="inlineStr">
        <is>
          <t>待分类</t>
        </is>
      </c>
      <c r="F147" t="inlineStr">
        <is>
          <t>李艳婷 / 收款方备注:二维码收款 / 已转账</t>
        </is>
      </c>
      <c r="G147" t="inlineStr">
        <is>
          <t>账单导入/2026-07-05/extracted/微信/微信支付账单流水文件(20260405-20260705)——【解压密码可在微信支付公众号查看】.xlsx</t>
        </is>
      </c>
      <c r="H147" t="inlineStr">
        <is>
          <t>中</t>
        </is>
      </c>
      <c r="I147" t="inlineStr">
        <is>
          <t>个人/公司归属不明确，请确认</t>
        </is>
      </c>
      <c r="J147" t="inlineStr">
        <is>
          <t>待确认</t>
        </is>
      </c>
      <c r="K147" t="inlineStr"/>
      <c r="L147" t="inlineStr">
        <is>
          <t>feaa02d64130f48e</t>
        </is>
      </c>
      <c r="M147" t="inlineStr">
        <is>
          <t>20260705-174222-auto-bills</t>
        </is>
      </c>
      <c r="N147" t="inlineStr">
        <is>
          <t>2026-06-10 18:18:14 | 扫二维码付款 | 李艳婷 | 收款方备注:二维码收款 | 支出 | 14 | 零钱 | 已转账 | 53110001868005202606100714843025 | 10001073012026061001772040305619 | /</t>
        </is>
      </c>
    </row>
    <row r="148">
      <c r="A148" t="inlineStr">
        <is>
          <t>2026-06-10</t>
        </is>
      </c>
      <c r="B148" t="inlineStr">
        <is>
          <t>微信</t>
        </is>
      </c>
      <c r="C148" t="inlineStr">
        <is>
          <t>支出</t>
        </is>
      </c>
      <c r="D148" t="n">
        <v>75</v>
      </c>
      <c r="E148" t="inlineStr">
        <is>
          <t>待分类</t>
        </is>
      </c>
      <c r="F148" t="inlineStr">
        <is>
          <t>成都市双流区思玥享蓉饭店（个体工商户） / 中国银行信用卡 / 支付成功</t>
        </is>
      </c>
      <c r="G148" t="inlineStr">
        <is>
          <t>账单导入/2026-07-05/extracted/微信/微信支付账单流水文件(20260405-20260705)——【解压密码可在微信支付公众号查看】.xlsx</t>
        </is>
      </c>
      <c r="H148" t="inlineStr">
        <is>
          <t>中</t>
        </is>
      </c>
      <c r="I148" t="inlineStr">
        <is>
          <t>个人/公司归属不明确，请确认</t>
        </is>
      </c>
      <c r="J148" t="inlineStr">
        <is>
          <t>待确认</t>
        </is>
      </c>
      <c r="K148" t="inlineStr"/>
      <c r="L148" t="inlineStr">
        <is>
          <t>25dd245caac80369</t>
        </is>
      </c>
      <c r="M148" t="inlineStr">
        <is>
          <t>20260705-174222-auto-bills</t>
        </is>
      </c>
      <c r="N148" t="inlineStr">
        <is>
          <t>2026-06-10 19:28:55 | 商户消费 | 成都市双流区思玥享蓉饭店（个体工商户） | 中国银行信用卡 | 支出 | 75 | 零钱 | 支付成功 | 4500000214202606107870214430 | WPZ910430954549768410192849 | /</t>
        </is>
      </c>
    </row>
    <row r="149">
      <c r="A149" t="inlineStr">
        <is>
          <t>2026-06-10</t>
        </is>
      </c>
      <c r="B149" t="inlineStr">
        <is>
          <t>招商银行</t>
        </is>
      </c>
      <c r="C149" t="inlineStr">
        <is>
          <t>支出</t>
        </is>
      </c>
      <c r="D149" t="n">
        <v>1</v>
      </c>
      <c r="E149" t="inlineStr">
        <is>
          <t>待分类</t>
        </is>
      </c>
      <c r="F149" t="inlineStr">
        <is>
          <t>CNY -  快捷支付 吴文凯</t>
        </is>
      </c>
      <c r="G149" t="inlineStr">
        <is>
          <t>账单导入/2026-07-05/extracted/招商银行/招商银行交易流水(申请时间2026年07月05日15时41分46秒).pdf</t>
        </is>
      </c>
      <c r="H149" t="inlineStr">
        <is>
          <t>中</t>
        </is>
      </c>
      <c r="I149" t="inlineStr">
        <is>
          <t>个人/公司归属不明确，请确认</t>
        </is>
      </c>
      <c r="J149" t="inlineStr">
        <is>
          <t>待确认</t>
        </is>
      </c>
      <c r="K149" t="inlineStr"/>
      <c r="L149" t="inlineStr">
        <is>
          <t>155f00dc07fd0eda</t>
        </is>
      </c>
      <c r="M149" t="inlineStr">
        <is>
          <t>20260705-174222-auto-bills</t>
        </is>
      </c>
      <c r="N149" t="inlineStr">
        <is>
          <t>2026-06-10 CNY -1.00 5,769.47 快捷支付 吴文凯</t>
        </is>
      </c>
    </row>
    <row r="150">
      <c r="A150" t="inlineStr">
        <is>
          <t>2026-06-10</t>
        </is>
      </c>
      <c r="B150" t="inlineStr">
        <is>
          <t>招商银行</t>
        </is>
      </c>
      <c r="C150" t="inlineStr">
        <is>
          <t>支出</t>
        </is>
      </c>
      <c r="D150" t="n">
        <v>200</v>
      </c>
      <c r="E150" t="inlineStr">
        <is>
          <t>待分类</t>
        </is>
      </c>
      <c r="F150" t="inlineStr">
        <is>
          <t>CNY -  快捷支付 蚂蚁（杭州）基金销售有限公司</t>
        </is>
      </c>
      <c r="G150" t="inlineStr">
        <is>
          <t>账单导入/2026-07-05/extracted/招商银行/招商银行交易流水(申请时间2026年07月05日15时41分46秒).pdf</t>
        </is>
      </c>
      <c r="H150" t="inlineStr">
        <is>
          <t>中</t>
        </is>
      </c>
      <c r="I150" t="inlineStr">
        <is>
          <t>个人/公司归属不明确，请确认</t>
        </is>
      </c>
      <c r="J150" t="inlineStr">
        <is>
          <t>待确认</t>
        </is>
      </c>
      <c r="K150" t="inlineStr"/>
      <c r="L150" t="inlineStr">
        <is>
          <t>6ca2a6c7b1c6f298</t>
        </is>
      </c>
      <c r="M150" t="inlineStr">
        <is>
          <t>20260705-174222-auto-bills</t>
        </is>
      </c>
      <c r="N150" t="inlineStr">
        <is>
          <t>2026-06-10 CNY -200.00 5,770.47 快捷支付 蚂蚁（杭州）基金销售有限公司</t>
        </is>
      </c>
    </row>
    <row r="151">
      <c r="A151" t="inlineStr">
        <is>
          <t>2026-06-11</t>
        </is>
      </c>
      <c r="B151" t="inlineStr">
        <is>
          <t>微信</t>
        </is>
      </c>
      <c r="C151" t="inlineStr">
        <is>
          <t>收入</t>
        </is>
      </c>
      <c r="D151" t="n">
        <v>18</v>
      </c>
      <c r="E151" t="inlineStr">
        <is>
          <t>待分类</t>
        </is>
      </c>
      <c r="F151" t="inlineStr">
        <is>
          <t>李艳婷 / 收款方备注:二维码收款 / 已转账</t>
        </is>
      </c>
      <c r="G151" t="inlineStr">
        <is>
          <t>账单导入/2026-07-05/extracted/微信/微信支付账单流水文件(20260405-20260705)——【解压密码可在微信支付公众号查看】.xlsx</t>
        </is>
      </c>
      <c r="H151" t="inlineStr">
        <is>
          <t>中</t>
        </is>
      </c>
      <c r="I151" t="inlineStr">
        <is>
          <t>个人/公司归属不明确，请确认</t>
        </is>
      </c>
      <c r="J151" t="inlineStr">
        <is>
          <t>待确认</t>
        </is>
      </c>
      <c r="K151" t="inlineStr"/>
      <c r="L151" t="inlineStr">
        <is>
          <t>3b503cee093ad340</t>
        </is>
      </c>
      <c r="M151" t="inlineStr">
        <is>
          <t>20260705-174222-auto-bills</t>
        </is>
      </c>
      <c r="N151" t="inlineStr">
        <is>
          <t>2026-06-11 18:06:19 | 扫二维码付款 | 李艳婷 | 收款方备注:二维码收款 | 支出 | 18 | 零钱 | 已转账 | 53110001654170202606114146320587 | 10001073012026061101364779077514 | /</t>
        </is>
      </c>
    </row>
    <row r="152">
      <c r="A152" t="inlineStr">
        <is>
          <t>2026-06-11</t>
        </is>
      </c>
      <c r="B152" t="inlineStr">
        <is>
          <t>微信</t>
        </is>
      </c>
      <c r="C152" t="inlineStr">
        <is>
          <t>支出</t>
        </is>
      </c>
      <c r="D152" t="n">
        <v>36</v>
      </c>
      <c r="E152" t="inlineStr">
        <is>
          <t>待分类</t>
        </is>
      </c>
      <c r="F152" t="inlineStr">
        <is>
          <t>成都市双流区思玥享蓉饭店（个体工商户） / 中国银行信用卡 / 支付成功</t>
        </is>
      </c>
      <c r="G152" t="inlineStr">
        <is>
          <t>账单导入/2026-07-05/extracted/微信/微信支付账单流水文件(20260405-20260705)——【解压密码可在微信支付公众号查看】.xlsx</t>
        </is>
      </c>
      <c r="H152" t="inlineStr">
        <is>
          <t>中</t>
        </is>
      </c>
      <c r="I152" t="inlineStr">
        <is>
          <t>个人/公司归属不明确，请确认</t>
        </is>
      </c>
      <c r="J152" t="inlineStr">
        <is>
          <t>待确认</t>
        </is>
      </c>
      <c r="K152" t="inlineStr"/>
      <c r="L152" t="inlineStr">
        <is>
          <t>46b306aba187dc95</t>
        </is>
      </c>
      <c r="M152" t="inlineStr">
        <is>
          <t>20260705-174222-auto-bills</t>
        </is>
      </c>
      <c r="N152" t="inlineStr">
        <is>
          <t>2026-06-11 18:00:02 | 商户消费 | 成都市双流区思玥享蓉饭店（个体工商户） | 中国银行信用卡 | 支出 | 36 | 零钱 | 支付成功 | 4500000231202606119528008934 | WPZ910430955170653611175955 | /</t>
        </is>
      </c>
    </row>
    <row r="153">
      <c r="A153" t="inlineStr">
        <is>
          <t>2026-06-11</t>
        </is>
      </c>
      <c r="B153" t="inlineStr">
        <is>
          <t>招商银行</t>
        </is>
      </c>
      <c r="C153" t="inlineStr">
        <is>
          <t>支出</t>
        </is>
      </c>
      <c r="D153" t="n">
        <v>200</v>
      </c>
      <c r="E153" t="inlineStr">
        <is>
          <t>待分类</t>
        </is>
      </c>
      <c r="F153" t="inlineStr">
        <is>
          <t>CNY -  快捷支付 蚂蚁（杭州）基金销售有限公司</t>
        </is>
      </c>
      <c r="G153" t="inlineStr">
        <is>
          <t>账单导入/2026-07-05/extracted/招商银行/招商银行交易流水(申请时间2026年07月05日15时41分46秒).pdf</t>
        </is>
      </c>
      <c r="H153" t="inlineStr">
        <is>
          <t>中</t>
        </is>
      </c>
      <c r="I153" t="inlineStr">
        <is>
          <t>个人/公司归属不明确，请确认</t>
        </is>
      </c>
      <c r="J153" t="inlineStr">
        <is>
          <t>待确认</t>
        </is>
      </c>
      <c r="K153" t="inlineStr"/>
      <c r="L153" t="inlineStr">
        <is>
          <t>1e6b76f8a2d1adc5</t>
        </is>
      </c>
      <c r="M153" t="inlineStr">
        <is>
          <t>20260705-174222-auto-bills</t>
        </is>
      </c>
      <c r="N153" t="inlineStr">
        <is>
          <t>2026-06-11 CNY -200.00 5,569.47 快捷支付 蚂蚁（杭州）基金销售有限公司</t>
        </is>
      </c>
    </row>
    <row r="154">
      <c r="A154" t="inlineStr">
        <is>
          <t>2026-06-12</t>
        </is>
      </c>
      <c r="B154" t="inlineStr">
        <is>
          <t>微信</t>
        </is>
      </c>
      <c r="C154" t="inlineStr">
        <is>
          <t>支出</t>
        </is>
      </c>
      <c r="D154" t="n">
        <v>49</v>
      </c>
      <c r="E154" t="inlineStr">
        <is>
          <t>待分类</t>
        </is>
      </c>
      <c r="F154" t="inlineStr">
        <is>
          <t>TOPTOY成都锦江区春熙路潮玩梦工厂店 / TOPTOY成都锦江区春熙路潮玩梦工厂店-消费 / 支付成功</t>
        </is>
      </c>
      <c r="G154" t="inlineStr">
        <is>
          <t>账单导入/2026-07-05/extracted/微信/微信支付账单流水文件(20260405-20260705)——【解压密码可在微信支付公众号查看】.xlsx</t>
        </is>
      </c>
      <c r="H154" t="inlineStr">
        <is>
          <t>中</t>
        </is>
      </c>
      <c r="I154" t="inlineStr">
        <is>
          <t>个人/公司归属不明确，请确认</t>
        </is>
      </c>
      <c r="J154" t="inlineStr">
        <is>
          <t>待确认</t>
        </is>
      </c>
      <c r="K154" t="inlineStr"/>
      <c r="L154" t="inlineStr">
        <is>
          <t>2913b976727ab524</t>
        </is>
      </c>
      <c r="M154" t="inlineStr">
        <is>
          <t>20260705-174222-auto-bills</t>
        </is>
      </c>
      <c r="N154" t="inlineStr">
        <is>
          <t>2026-06-12 19:26:26 | 商户消费 | TOPTOY成都锦江区春熙路潮玩梦工厂店 | TOPTOY成都锦江区春熙路潮玩梦工厂店-消费 | 支出 | 49 | 零钱 | 支付成功 | 4200003163202606128540622018 | ZYCQb260612192623 | /</t>
        </is>
      </c>
    </row>
    <row r="155">
      <c r="A155" t="inlineStr">
        <is>
          <t>2026-06-12</t>
        </is>
      </c>
      <c r="B155" t="inlineStr">
        <is>
          <t>微信</t>
        </is>
      </c>
      <c r="C155" t="inlineStr">
        <is>
          <t>支出</t>
        </is>
      </c>
      <c r="D155" t="n">
        <v>88.90000000000001</v>
      </c>
      <c r="E155" t="inlineStr">
        <is>
          <t>待分类</t>
        </is>
      </c>
      <c r="F155" t="inlineStr">
        <is>
          <t>TOPTOY成都锦江区春熙路潮玩梦工厂店 / TOPTOY成都锦江区春熙路潮玩梦工厂店-消费 / 支付成功</t>
        </is>
      </c>
      <c r="G155" t="inlineStr">
        <is>
          <t>账单导入/2026-07-05/extracted/微信/微信支付账单流水文件(20260405-20260705)——【解压密码可在微信支付公众号查看】.xlsx</t>
        </is>
      </c>
      <c r="H155" t="inlineStr">
        <is>
          <t>中</t>
        </is>
      </c>
      <c r="I155" t="inlineStr">
        <is>
          <t>个人/公司归属不明确，请确认</t>
        </is>
      </c>
      <c r="J155" t="inlineStr">
        <is>
          <t>待确认</t>
        </is>
      </c>
      <c r="K155" t="inlineStr"/>
      <c r="L155" t="inlineStr">
        <is>
          <t>40c70544e358e1e9</t>
        </is>
      </c>
      <c r="M155" t="inlineStr">
        <is>
          <t>20260705-174222-auto-bills</t>
        </is>
      </c>
      <c r="N155" t="inlineStr">
        <is>
          <t>2026-06-12 19:21:08 | 商户消费 | TOPTOY成都锦江区春熙路潮玩梦工厂店 | TOPTOY成都锦江区春熙路潮玩梦工厂店-消费 | 支出 | 88.9 | 零钱 | 支付成功 | 4200003101202606126428190079 | ZYCQa260612192106 | /</t>
        </is>
      </c>
    </row>
    <row r="156">
      <c r="A156" t="inlineStr">
        <is>
          <t>2026-06-12</t>
        </is>
      </c>
      <c r="B156" t="inlineStr">
        <is>
          <t>微信</t>
        </is>
      </c>
      <c r="C156" t="inlineStr">
        <is>
          <t>支出</t>
        </is>
      </c>
      <c r="D156" t="n">
        <v>10010</v>
      </c>
      <c r="E156" t="inlineStr">
        <is>
          <t>待分类</t>
        </is>
      </c>
      <c r="F156" t="inlineStr">
        <is>
          <t>招商银行(3531) / / / 提现已到账</t>
        </is>
      </c>
      <c r="G156" t="inlineStr">
        <is>
          <t>账单导入/2026-07-05/extracted/微信/微信支付账单流水文件(20260405-20260705)——【解压密码可在微信支付公众号查看】.xlsx</t>
        </is>
      </c>
      <c r="H156" t="inlineStr">
        <is>
          <t>中</t>
        </is>
      </c>
      <c r="I156" t="inlineStr">
        <is>
          <t>个人/公司归属不明确，请确认</t>
        </is>
      </c>
      <c r="J156" t="inlineStr">
        <is>
          <t>待确认</t>
        </is>
      </c>
      <c r="K156" t="inlineStr"/>
      <c r="L156" t="inlineStr">
        <is>
          <t>093378d34ba879a0</t>
        </is>
      </c>
      <c r="M156" t="inlineStr">
        <is>
          <t>20260705-174222-auto-bills</t>
        </is>
      </c>
      <c r="N156" t="inlineStr">
        <is>
          <t>2026-06-12 18:14:50 | 零钱提现 | 招商银行(3531) | / | / | 10010 | 招商银行储蓄卡(3531) | 提现已到账 | 207260612109957311635229453221 | / | 服务费¥10.00</t>
        </is>
      </c>
    </row>
    <row r="157">
      <c r="A157" t="inlineStr">
        <is>
          <t>2026-06-12</t>
        </is>
      </c>
      <c r="B157" t="inlineStr">
        <is>
          <t>招商银行</t>
        </is>
      </c>
      <c r="C157" t="inlineStr">
        <is>
          <t>支出</t>
        </is>
      </c>
      <c r="D157" t="n">
        <v>200</v>
      </c>
      <c r="E157" t="inlineStr">
        <is>
          <t>待分类</t>
        </is>
      </c>
      <c r="F157" t="inlineStr">
        <is>
          <t>CNY -  快捷支付 蚂蚁（杭州）基金销售有限公司</t>
        </is>
      </c>
      <c r="G157" t="inlineStr">
        <is>
          <t>账单导入/2026-07-05/extracted/招商银行/招商银行交易流水(申请时间2026年07月05日15时41分46秒).pdf</t>
        </is>
      </c>
      <c r="H157" t="inlineStr">
        <is>
          <t>中</t>
        </is>
      </c>
      <c r="I157" t="inlineStr">
        <is>
          <t>个人/公司归属不明确，请确认</t>
        </is>
      </c>
      <c r="J157" t="inlineStr">
        <is>
          <t>待确认</t>
        </is>
      </c>
      <c r="K157" t="inlineStr"/>
      <c r="L157" t="inlineStr">
        <is>
          <t>3158090e60a497d7</t>
        </is>
      </c>
      <c r="M157" t="inlineStr">
        <is>
          <t>20260705-174222-auto-bills</t>
        </is>
      </c>
      <c r="N157" t="inlineStr">
        <is>
          <t>2026-06-12 CNY -200.00 5,369.47 快捷支付 蚂蚁（杭州）基金销售有限公司</t>
        </is>
      </c>
    </row>
    <row r="158">
      <c r="A158" t="inlineStr">
        <is>
          <t>2026-06-12</t>
        </is>
      </c>
      <c r="B158" t="inlineStr">
        <is>
          <t>招商银行</t>
        </is>
      </c>
      <c r="C158" t="inlineStr">
        <is>
          <t>支出</t>
        </is>
      </c>
      <c r="D158" t="n">
        <v>8423.91</v>
      </c>
      <c r="E158" t="inlineStr">
        <is>
          <t>待分类</t>
        </is>
      </c>
      <c r="F158" t="inlineStr">
        <is>
          <t>CNY -  转账汇款 花呗还款户</t>
        </is>
      </c>
      <c r="G158" t="inlineStr">
        <is>
          <t>账单导入/2026-07-05/extracted/招商银行/招商银行交易流水(申请时间2026年07月05日15时41分46秒).pdf</t>
        </is>
      </c>
      <c r="H158" t="inlineStr">
        <is>
          <t>中</t>
        </is>
      </c>
      <c r="I158" t="inlineStr">
        <is>
          <t>个人/公司归属不明确，请确认</t>
        </is>
      </c>
      <c r="J158" t="inlineStr">
        <is>
          <t>待确认</t>
        </is>
      </c>
      <c r="K158" t="inlineStr"/>
      <c r="L158" t="inlineStr">
        <is>
          <t>66974761cf28e34b</t>
        </is>
      </c>
      <c r="M158" t="inlineStr">
        <is>
          <t>20260705-174222-auto-bills</t>
        </is>
      </c>
      <c r="N158" t="inlineStr">
        <is>
          <t>2026-06-12 CNY -8,423.91 6,945.56 转账汇款 花呗还款户</t>
        </is>
      </c>
    </row>
    <row r="159">
      <c r="A159" t="inlineStr">
        <is>
          <t>2026-06-12</t>
        </is>
      </c>
      <c r="B159" t="inlineStr">
        <is>
          <t>招商银行</t>
        </is>
      </c>
      <c r="C159" t="inlineStr">
        <is>
          <t>收入</t>
        </is>
      </c>
      <c r="D159" t="n">
        <v>10000</v>
      </c>
      <c r="E159" t="inlineStr">
        <is>
          <t>待分类</t>
        </is>
      </c>
      <c r="F159" t="inlineStr">
        <is>
          <t>CNY   网联收款 吴文凯</t>
        </is>
      </c>
      <c r="G159" t="inlineStr">
        <is>
          <t>账单导入/2026-07-05/extracted/招商银行/招商银行交易流水(申请时间2026年07月05日15时41分46秒).pdf</t>
        </is>
      </c>
      <c r="H159" t="inlineStr">
        <is>
          <t>中</t>
        </is>
      </c>
      <c r="I159" t="inlineStr">
        <is>
          <t>个人/公司归属不明确，请确认</t>
        </is>
      </c>
      <c r="J159" t="inlineStr">
        <is>
          <t>待确认</t>
        </is>
      </c>
      <c r="K159" t="inlineStr"/>
      <c r="L159" t="inlineStr">
        <is>
          <t>8d2870810165afb8</t>
        </is>
      </c>
      <c r="M159" t="inlineStr">
        <is>
          <t>20260705-174222-auto-bills</t>
        </is>
      </c>
      <c r="N159" t="inlineStr">
        <is>
          <t>2026-06-12 CNY 10,000.00 15,369.47 网联收款 吴文凯</t>
        </is>
      </c>
    </row>
    <row r="160">
      <c r="A160" t="inlineStr">
        <is>
          <t>2026-06-13</t>
        </is>
      </c>
      <c r="B160" t="inlineStr">
        <is>
          <t>微信</t>
        </is>
      </c>
      <c r="C160" t="inlineStr">
        <is>
          <t>支出</t>
        </is>
      </c>
      <c r="D160" t="n">
        <v>18</v>
      </c>
      <c r="E160" t="inlineStr">
        <is>
          <t>待分类</t>
        </is>
      </c>
      <c r="F160" t="inlineStr">
        <is>
          <t>两姊妹手打柠檬茶 / / / 支付成功</t>
        </is>
      </c>
      <c r="G160" t="inlineStr">
        <is>
          <t>账单导入/2026-07-05/extracted/微信/微信支付账单流水文件(20260405-20260705)——【解压密码可在微信支付公众号查看】.xlsx</t>
        </is>
      </c>
      <c r="H160" t="inlineStr">
        <is>
          <t>中</t>
        </is>
      </c>
      <c r="I160" t="inlineStr">
        <is>
          <t>个人/公司归属不明确，请确认</t>
        </is>
      </c>
      <c r="J160" t="inlineStr">
        <is>
          <t>待确认</t>
        </is>
      </c>
      <c r="K160" t="inlineStr"/>
      <c r="L160" t="inlineStr">
        <is>
          <t>9be3c42d93fa97d7</t>
        </is>
      </c>
      <c r="M160" t="inlineStr">
        <is>
          <t>20260705-174222-auto-bills</t>
        </is>
      </c>
      <c r="N160" t="inlineStr">
        <is>
          <t>2026-06-13 15:20:57 | 商户消费 | 两姊妹手打柠檬茶 | / | 支出 | 18 | 零钱 | 支付成功 | 4500000208202606132698679220 | 10359463533617813352520127932701 | /</t>
        </is>
      </c>
    </row>
    <row r="161">
      <c r="A161" t="inlineStr">
        <is>
          <t>2026-06-13</t>
        </is>
      </c>
      <c r="B161" t="inlineStr">
        <is>
          <t>微信</t>
        </is>
      </c>
      <c r="C161" t="inlineStr">
        <is>
          <t>支出</t>
        </is>
      </c>
      <c r="D161" t="n">
        <v>129</v>
      </c>
      <c r="E161" t="inlineStr">
        <is>
          <t>待分类</t>
        </is>
      </c>
      <c r="F161" t="inlineStr">
        <is>
          <t>朵拉潮品店 / 朵拉潮品店(个人吴丹216340) / 支付成功</t>
        </is>
      </c>
      <c r="G161" t="inlineStr">
        <is>
          <t>账单导入/2026-07-05/extracted/微信/微信支付账单流水文件(20260405-20260705)——【解压密码可在微信支付公众号查看】.xlsx</t>
        </is>
      </c>
      <c r="H161" t="inlineStr">
        <is>
          <t>中</t>
        </is>
      </c>
      <c r="I161" t="inlineStr">
        <is>
          <t>个人/公司归属不明确，请确认</t>
        </is>
      </c>
      <c r="J161" t="inlineStr">
        <is>
          <t>待确认</t>
        </is>
      </c>
      <c r="K161" t="inlineStr"/>
      <c r="L161" t="inlineStr">
        <is>
          <t>0e943ace97a6a9e1</t>
        </is>
      </c>
      <c r="M161" t="inlineStr">
        <is>
          <t>20260705-174222-auto-bills</t>
        </is>
      </c>
      <c r="N161" t="inlineStr">
        <is>
          <t>2026-06-13 16:19:02 | 商户消费 | 朵拉潮品店 | 朵拉潮品店(个人吴丹216340) | 支出 | 129 | 零钱 | 支付成功 | 4200003205202606137989753883 | 260613116605046570 | /</t>
        </is>
      </c>
    </row>
    <row r="162">
      <c r="A162" t="inlineStr">
        <is>
          <t>2026-06-13</t>
        </is>
      </c>
      <c r="B162" t="inlineStr">
        <is>
          <t>微信</t>
        </is>
      </c>
      <c r="C162" t="inlineStr">
        <is>
          <t>支出</t>
        </is>
      </c>
      <c r="D162" t="n">
        <v>199</v>
      </c>
      <c r="E162" t="inlineStr">
        <is>
          <t>待分类</t>
        </is>
      </c>
      <c r="F162" t="inlineStr">
        <is>
          <t>朵拉潮品店 / 朵拉潮品店(个人吴丹216340) / 支付成功</t>
        </is>
      </c>
      <c r="G162" t="inlineStr">
        <is>
          <t>账单导入/2026-07-05/extracted/微信/微信支付账单流水文件(20260405-20260705)——【解压密码可在微信支付公众号查看】.xlsx</t>
        </is>
      </c>
      <c r="H162" t="inlineStr">
        <is>
          <t>中</t>
        </is>
      </c>
      <c r="I162" t="inlineStr">
        <is>
          <t>个人/公司归属不明确，请确认</t>
        </is>
      </c>
      <c r="J162" t="inlineStr">
        <is>
          <t>待确认</t>
        </is>
      </c>
      <c r="K162" t="inlineStr"/>
      <c r="L162" t="inlineStr">
        <is>
          <t>dae503e556602d6c</t>
        </is>
      </c>
      <c r="M162" t="inlineStr">
        <is>
          <t>20260705-174222-auto-bills</t>
        </is>
      </c>
      <c r="N162" t="inlineStr">
        <is>
          <t>2026-06-13 15:58:38 | 商户消费 | 朵拉潮品店 | 朵拉潮品店(个人吴丹216340) | 支出 | 199 | 零钱 | 支付成功 | 4500000198202606134886781064 | 260613110105055018 | /</t>
        </is>
      </c>
    </row>
    <row r="163">
      <c r="A163" t="inlineStr">
        <is>
          <t>2026-06-14</t>
        </is>
      </c>
      <c r="B163" t="inlineStr">
        <is>
          <t>微信</t>
        </is>
      </c>
      <c r="C163" t="inlineStr">
        <is>
          <t>退款</t>
        </is>
      </c>
      <c r="D163" t="n">
        <v>5</v>
      </c>
      <c r="E163" t="inlineStr">
        <is>
          <t>待分类</t>
        </is>
      </c>
      <c r="F163" t="inlineStr">
        <is>
          <t>一想网络科技 / 大魔方店6月16日周二 / 已全额退款</t>
        </is>
      </c>
      <c r="G163" t="inlineStr">
        <is>
          <t>账单导入/2026-07-05/extracted/微信/微信支付账单流水文件(20260405-20260705)——【解压密码可在微信支付公众号查看】.xlsx</t>
        </is>
      </c>
      <c r="H163" t="inlineStr">
        <is>
          <t>中</t>
        </is>
      </c>
      <c r="I163" t="inlineStr">
        <is>
          <t>个人/公司归属不明确，请确认</t>
        </is>
      </c>
      <c r="J163" t="inlineStr">
        <is>
          <t>待确认</t>
        </is>
      </c>
      <c r="K163" t="inlineStr"/>
      <c r="L163" t="inlineStr">
        <is>
          <t>bce0cbc54d1bd4ef</t>
        </is>
      </c>
      <c r="M163" t="inlineStr">
        <is>
          <t>20260705-174222-auto-bills</t>
        </is>
      </c>
      <c r="N163" t="inlineStr">
        <is>
          <t>2026-06-14 13:34:15 | 商户消费 | 一想网络科技 | 大魔方店6月16日周二 | 支出 | 5 | 零钱 | 已全额退款 | 4200003108202606149827593509 | 201026061493021069 | /</t>
        </is>
      </c>
    </row>
    <row r="164">
      <c r="A164" t="inlineStr">
        <is>
          <t>2026-06-14</t>
        </is>
      </c>
      <c r="B164" t="inlineStr">
        <is>
          <t>微信</t>
        </is>
      </c>
      <c r="C164" t="inlineStr">
        <is>
          <t>收入</t>
        </is>
      </c>
      <c r="D164" t="n">
        <v>22</v>
      </c>
      <c r="E164" t="inlineStr">
        <is>
          <t>待分类</t>
        </is>
      </c>
      <c r="F164" t="inlineStr">
        <is>
          <t>夜不收荤豆花饭店 / 收款方备注:二维码收款 / 已转账</t>
        </is>
      </c>
      <c r="G164" t="inlineStr">
        <is>
          <t>账单导入/2026-07-05/extracted/微信/微信支付账单流水文件(20260405-20260705)——【解压密码可在微信支付公众号查看】.xlsx</t>
        </is>
      </c>
      <c r="H164" t="inlineStr">
        <is>
          <t>中</t>
        </is>
      </c>
      <c r="I164" t="inlineStr">
        <is>
          <t>个人/公司归属不明确，请确认</t>
        </is>
      </c>
      <c r="J164" t="inlineStr">
        <is>
          <t>待确认</t>
        </is>
      </c>
      <c r="K164" t="inlineStr"/>
      <c r="L164" t="inlineStr">
        <is>
          <t>17dcc749897d1ebf</t>
        </is>
      </c>
      <c r="M164" t="inlineStr">
        <is>
          <t>20260705-174222-auto-bills</t>
        </is>
      </c>
      <c r="N164" t="inlineStr">
        <is>
          <t>2026-06-14 10:06:34 | 扫二维码付款 | 夜不收荤豆花饭店 | 收款方备注:二维码收款 | 支出 | 22 | 零钱 | 已转账 | 53110001846186202606143212661562 | 10001073012026061401200432297526 | /</t>
        </is>
      </c>
    </row>
    <row r="165">
      <c r="A165" t="inlineStr">
        <is>
          <t>2026-06-14</t>
        </is>
      </c>
      <c r="B165" t="inlineStr">
        <is>
          <t>微信</t>
        </is>
      </c>
      <c r="C165" t="inlineStr">
        <is>
          <t>成本</t>
        </is>
      </c>
      <c r="D165" t="n">
        <v>22.4</v>
      </c>
      <c r="E165" t="inlineStr">
        <is>
          <t>购买费用</t>
        </is>
      </c>
      <c r="F165" t="inlineStr">
        <is>
          <t>拼多多平台商户 / 先用后付 / 支付成功</t>
        </is>
      </c>
      <c r="G165" t="inlineStr">
        <is>
          <t>账单导入/2026-07-05/extracted/微信/微信支付账单流水文件(20260405-20260705)——【解压密码可在微信支付公众号查看】.xlsx</t>
        </is>
      </c>
      <c r="H165" t="inlineStr">
        <is>
          <t>中</t>
        </is>
      </c>
      <c r="I165" t="inlineStr">
        <is>
          <t>疑似公司交易，请确认用途</t>
        </is>
      </c>
      <c r="J165" t="inlineStr">
        <is>
          <t>待确认</t>
        </is>
      </c>
      <c r="K165" t="inlineStr"/>
      <c r="L165" t="inlineStr">
        <is>
          <t>4e23514c8d2bceca</t>
        </is>
      </c>
      <c r="M165" t="inlineStr">
        <is>
          <t>20260705-174222-auto-bills</t>
        </is>
      </c>
      <c r="N165" t="inlineStr">
        <is>
          <t>2026-06-14 15:29:37 | 商户消费 | 拼多多平台商户 | 先用后付 | 支出 | 22.4 | 招商银行信用卡(1439) | 支付成功 | 4200003128202606143001650716 | QW398Fm20pu0WDQ6qoE7ZCxxxxxqesBx | /</t>
        </is>
      </c>
    </row>
    <row r="166">
      <c r="A166" t="inlineStr">
        <is>
          <t>2026-06-14</t>
        </is>
      </c>
      <c r="B166" t="inlineStr">
        <is>
          <t>微信</t>
        </is>
      </c>
      <c r="C166" t="inlineStr">
        <is>
          <t>收入</t>
        </is>
      </c>
      <c r="D166" t="n">
        <v>62</v>
      </c>
      <c r="E166" t="inlineStr">
        <is>
          <t>待分类</t>
        </is>
      </c>
      <c r="F166" t="inlineStr">
        <is>
          <t>爱吃DQ的仓鼠🐹 (爱吃DQ的仓鼠🐹) / 转账备注:工作室抽成 / 已存入零钱</t>
        </is>
      </c>
      <c r="G166" t="inlineStr">
        <is>
          <t>账单导入/2026-07-05/extracted/微信/微信支付账单流水文件(20260405-20260705)——【解压密码可在微信支付公众号查看】.xlsx</t>
        </is>
      </c>
      <c r="H166" t="inlineStr">
        <is>
          <t>中</t>
        </is>
      </c>
      <c r="I166" t="inlineStr">
        <is>
          <t>疑似公司交易，请确认用途</t>
        </is>
      </c>
      <c r="J166" t="inlineStr">
        <is>
          <t>待确认</t>
        </is>
      </c>
      <c r="K166" t="inlineStr"/>
      <c r="L166" t="inlineStr">
        <is>
          <t>240b7fd7dd96db49</t>
        </is>
      </c>
      <c r="M166" t="inlineStr">
        <is>
          <t>20260705-174222-auto-bills</t>
        </is>
      </c>
      <c r="N166" t="inlineStr">
        <is>
          <t>2026-06-14 22:31:36 | 转账 | 爱吃DQ的仓鼠🐹 (爱吃DQ的仓鼠🐹) | 转账备注:工作室抽成 | 收入 | 62 | / | 已存入零钱 | 1000050001202606140528522300159 | / | /</t>
        </is>
      </c>
    </row>
    <row r="167">
      <c r="A167" t="inlineStr">
        <is>
          <t>2026-06-14</t>
        </is>
      </c>
      <c r="B167" t="inlineStr">
        <is>
          <t>微信</t>
        </is>
      </c>
      <c r="C167" t="inlineStr">
        <is>
          <t>收入</t>
        </is>
      </c>
      <c r="D167" t="n">
        <v>66</v>
      </c>
      <c r="E167" t="inlineStr">
        <is>
          <t>待分类</t>
        </is>
      </c>
      <c r="F167" t="inlineStr">
        <is>
          <t>爱吃DQ的仓鼠🐹 (爱吃DQ的仓鼠🐹) / 转账备注:新郎妆造 / 已存入零钱</t>
        </is>
      </c>
      <c r="G167" t="inlineStr">
        <is>
          <t>账单导入/2026-07-05/extracted/微信/微信支付账单流水文件(20260405-20260705)——【解压密码可在微信支付公众号查看】.xlsx</t>
        </is>
      </c>
      <c r="H167" t="inlineStr">
        <is>
          <t>中</t>
        </is>
      </c>
      <c r="I167" t="inlineStr">
        <is>
          <t>疑似公司交易，请确认用途</t>
        </is>
      </c>
      <c r="J167" t="inlineStr">
        <is>
          <t>待确认</t>
        </is>
      </c>
      <c r="K167" t="inlineStr"/>
      <c r="L167" t="inlineStr">
        <is>
          <t>8a144e19bf6c2aa2</t>
        </is>
      </c>
      <c r="M167" t="inlineStr">
        <is>
          <t>20260705-174222-auto-bills</t>
        </is>
      </c>
      <c r="N167" t="inlineStr">
        <is>
          <t>2026-06-14 22:31:44 | 转账 | 爱吃DQ的仓鼠🐹 (爱吃DQ的仓鼠🐹) | 转账备注:新郎妆造 | 收入 | 66 | / | 已存入零钱 | 1000050001202606140020110781488 | / | /</t>
        </is>
      </c>
    </row>
    <row r="168">
      <c r="A168" t="inlineStr">
        <is>
          <t>2026-06-14</t>
        </is>
      </c>
      <c r="B168" t="inlineStr">
        <is>
          <t>微信</t>
        </is>
      </c>
      <c r="C168" t="inlineStr">
        <is>
          <t>退款</t>
        </is>
      </c>
      <c r="D168" t="n">
        <v>99</v>
      </c>
      <c r="E168" t="inlineStr">
        <is>
          <t>待分类</t>
        </is>
      </c>
      <c r="F168" t="inlineStr">
        <is>
          <t>好好学习 / 一起去看一场脱口秀/开放麦，第3期_保证金 / 已全额退款</t>
        </is>
      </c>
      <c r="G168" t="inlineStr">
        <is>
          <t>账单导入/2026-07-05/extracted/微信/微信支付账单流水文件(20260405-20260705)——【解压密码可在微信支付公众号查看】.xlsx</t>
        </is>
      </c>
      <c r="H168" t="inlineStr">
        <is>
          <t>中</t>
        </is>
      </c>
      <c r="I168" t="inlineStr">
        <is>
          <t>个人/公司归属不明确，请确认</t>
        </is>
      </c>
      <c r="J168" t="inlineStr">
        <is>
          <t>待确认</t>
        </is>
      </c>
      <c r="K168" t="inlineStr"/>
      <c r="L168" t="inlineStr">
        <is>
          <t>d7d69e90dd99ef33</t>
        </is>
      </c>
      <c r="M168" t="inlineStr">
        <is>
          <t>20260705-174222-auto-bills</t>
        </is>
      </c>
      <c r="N168" t="inlineStr">
        <is>
          <t>2026-06-14 11:44:34 | 商户消费 | 好好学习 | 一起去看一场脱口秀/开放麦，第3期_保证金 | 支出 | 99 | 零钱 | 已全额退款 | 4200003144202606143082589906 | PTY_8718_2606141144231kwK | /</t>
        </is>
      </c>
    </row>
    <row r="169">
      <c r="A169" t="inlineStr">
        <is>
          <t>2026-06-15</t>
        </is>
      </c>
      <c r="B169" t="inlineStr">
        <is>
          <t>微信</t>
        </is>
      </c>
      <c r="C169" t="inlineStr">
        <is>
          <t>支出</t>
        </is>
      </c>
      <c r="D169" t="n">
        <v>10</v>
      </c>
      <c r="E169" t="inlineStr">
        <is>
          <t>待分类</t>
        </is>
      </c>
      <c r="F169" t="inlineStr">
        <is>
          <t>成都交投智慧停车公司 / 停车缴费10.00元，川A6Z73C，2026-06-15，31670935 / 支付成功</t>
        </is>
      </c>
      <c r="G169" t="inlineStr">
        <is>
          <t>账单导入/2026-07-05/extracted/微信/微信支付账单流水文件(20260405-20260705)——【解压密码可在微信支付公众号查看】.xlsx</t>
        </is>
      </c>
      <c r="H169" t="inlineStr">
        <is>
          <t>中</t>
        </is>
      </c>
      <c r="I169" t="inlineStr">
        <is>
          <t>个人/公司归属不明确，请确认</t>
        </is>
      </c>
      <c r="J169" t="inlineStr">
        <is>
          <t>待确认</t>
        </is>
      </c>
      <c r="K169" t="inlineStr"/>
      <c r="L169" t="inlineStr">
        <is>
          <t>60d186b4017d7435</t>
        </is>
      </c>
      <c r="M169" t="inlineStr">
        <is>
          <t>20260705-174222-auto-bills</t>
        </is>
      </c>
      <c r="N169" t="inlineStr">
        <is>
          <t>2026-06-15 20:44:28 | 商户消费 | 成都交投智慧停车公司 | 停车缴费10.00元，川A6Z73C，2026-06-15，31670935 | 支出 | 10 | 零钱 | 支付成功 | 4200003146202606156430326876 | UNION2606152044227360101572043 | /</t>
        </is>
      </c>
    </row>
    <row r="170">
      <c r="A170" t="inlineStr">
        <is>
          <t>2026-06-15</t>
        </is>
      </c>
      <c r="B170" t="inlineStr">
        <is>
          <t>微信</t>
        </is>
      </c>
      <c r="C170" t="inlineStr">
        <is>
          <t>支出</t>
        </is>
      </c>
      <c r="D170" t="n">
        <v>131.5</v>
      </c>
      <c r="E170" t="inlineStr">
        <is>
          <t>待分类</t>
        </is>
      </c>
      <c r="F170" t="inlineStr">
        <is>
          <t>陶德砂锅阳光新业店 / 【堂食】_陶德砂锅阳光新业店_270780_11_无_无 / 支付成功</t>
        </is>
      </c>
      <c r="G170" t="inlineStr">
        <is>
          <t>账单导入/2026-07-05/extracted/微信/微信支付账单流水文件(20260405-20260705)——【解压密码可在微信支付公众号查看】.xlsx</t>
        </is>
      </c>
      <c r="H170" t="inlineStr">
        <is>
          <t>中</t>
        </is>
      </c>
      <c r="I170" t="inlineStr">
        <is>
          <t>个人/公司归属不明确，请确认</t>
        </is>
      </c>
      <c r="J170" t="inlineStr">
        <is>
          <t>待确认</t>
        </is>
      </c>
      <c r="K170" t="inlineStr"/>
      <c r="L170" t="inlineStr">
        <is>
          <t>7152c4b8d8800476</t>
        </is>
      </c>
      <c r="M170" t="inlineStr">
        <is>
          <t>20260705-174222-auto-bills</t>
        </is>
      </c>
      <c r="N170" t="inlineStr">
        <is>
          <t>2026-06-15 13:34:33 | 商户消费 | 陶德砂锅阳光新业店 | 【堂食】_陶德砂锅阳光新业店_270780_11_无_无 | 支出 | 131.5 | 零钱 | 支付成功 | 4200003186202606150837763233 | 260615111005298857 | /</t>
        </is>
      </c>
    </row>
    <row r="171">
      <c r="A171" t="inlineStr">
        <is>
          <t>2026-06-15</t>
        </is>
      </c>
      <c r="B171" t="inlineStr">
        <is>
          <t>微信</t>
        </is>
      </c>
      <c r="C171" t="inlineStr">
        <is>
          <t>收入</t>
        </is>
      </c>
      <c r="D171" t="n">
        <v>160</v>
      </c>
      <c r="E171" t="inlineStr">
        <is>
          <t>待分类</t>
        </is>
      </c>
      <c r="F171" t="inlineStr">
        <is>
          <t>陳 (陳) / 转账备注:微信转账 / 已存入零钱</t>
        </is>
      </c>
      <c r="G171" t="inlineStr">
        <is>
          <t>账单导入/2026-07-05/extracted/微信/微信支付账单流水文件(20260405-20260705)——【解压密码可在微信支付公众号查看】.xlsx</t>
        </is>
      </c>
      <c r="H171" t="inlineStr">
        <is>
          <t>中</t>
        </is>
      </c>
      <c r="I171" t="inlineStr">
        <is>
          <t>个人/公司归属不明确，请确认</t>
        </is>
      </c>
      <c r="J171" t="inlineStr">
        <is>
          <t>待确认</t>
        </is>
      </c>
      <c r="K171" t="inlineStr"/>
      <c r="L171" t="inlineStr">
        <is>
          <t>f9e624946755af05</t>
        </is>
      </c>
      <c r="M171" t="inlineStr">
        <is>
          <t>20260705-174222-auto-bills</t>
        </is>
      </c>
      <c r="N171" t="inlineStr">
        <is>
          <t>2026-06-15 12:34:14 | 转账 | 陳 (陳) | 转账备注:微信转账 | 收入 | 160 | / | 已存入零钱 | 1000050001202606150032165715000 | / | /</t>
        </is>
      </c>
    </row>
    <row r="172">
      <c r="A172" t="inlineStr">
        <is>
          <t>2026-06-15</t>
        </is>
      </c>
      <c r="B172" t="inlineStr">
        <is>
          <t>微信</t>
        </is>
      </c>
      <c r="C172" t="inlineStr">
        <is>
          <t>支出</t>
        </is>
      </c>
      <c r="D172" t="n">
        <v>2170.41</v>
      </c>
      <c r="E172" t="inlineStr">
        <is>
          <t>待分类</t>
        </is>
      </c>
      <c r="F172" t="inlineStr">
        <is>
          <t>爱吃DQ的仓鼠🐹 (爱吃DQ的仓鼠🐹) / 转账备注:微信转账 / 对方已收钱</t>
        </is>
      </c>
      <c r="G172" t="inlineStr">
        <is>
          <t>账单导入/2026-07-05/extracted/微信/微信支付账单流水文件(20260405-20260705)——【解压密码可在微信支付公众号查看】.xlsx</t>
        </is>
      </c>
      <c r="H172" t="inlineStr">
        <is>
          <t>中</t>
        </is>
      </c>
      <c r="I172" t="inlineStr">
        <is>
          <t>个人/公司归属不明确，请确认</t>
        </is>
      </c>
      <c r="J172" t="inlineStr">
        <is>
          <t>待确认</t>
        </is>
      </c>
      <c r="K172" t="inlineStr"/>
      <c r="L172" t="inlineStr">
        <is>
          <t>c04595c62e992f44</t>
        </is>
      </c>
      <c r="M172" t="inlineStr">
        <is>
          <t>20260705-174222-auto-bills</t>
        </is>
      </c>
      <c r="N172" t="inlineStr">
        <is>
          <t>2026-06-15 11:02:03 | 转账 | 爱吃DQ的仓鼠🐹 (爱吃DQ的仓鼠🐹) | 转账备注:微信转账 | 支出 | 2170.41 | 零钱 | 对方已收钱 | 53010003085174202606152992601076 | 1000050001202606150139111869919 | /</t>
        </is>
      </c>
    </row>
    <row r="173">
      <c r="A173" t="inlineStr">
        <is>
          <t>2026-06-16</t>
        </is>
      </c>
      <c r="B173" t="inlineStr">
        <is>
          <t>微信</t>
        </is>
      </c>
      <c r="C173" t="inlineStr">
        <is>
          <t>退款</t>
        </is>
      </c>
      <c r="D173" t="n">
        <v>5</v>
      </c>
      <c r="E173" t="inlineStr">
        <is>
          <t>待分类</t>
        </is>
      </c>
      <c r="F173" t="inlineStr">
        <is>
          <t>一想网络科技 / 一想网络科技 / 已全额退款</t>
        </is>
      </c>
      <c r="G173" t="inlineStr">
        <is>
          <t>账单导入/2026-07-05/extracted/微信/微信支付账单流水文件(20260405-20260705)——【解压密码可在微信支付公众号查看】.xlsx</t>
        </is>
      </c>
      <c r="H173" t="inlineStr">
        <is>
          <t>中</t>
        </is>
      </c>
      <c r="I173" t="inlineStr">
        <is>
          <t>个人/公司归属不明确，请确认</t>
        </is>
      </c>
      <c r="J173" t="inlineStr">
        <is>
          <t>待确认</t>
        </is>
      </c>
      <c r="K173" t="inlineStr"/>
      <c r="L173" t="inlineStr">
        <is>
          <t>b873aaea87635fff</t>
        </is>
      </c>
      <c r="M173" t="inlineStr">
        <is>
          <t>20260705-174222-auto-bills</t>
        </is>
      </c>
      <c r="N173" t="inlineStr">
        <is>
          <t>2026-06-16 20:29:07 | 一想网络科技-退款 | 一想网络科技 | 一想网络科技 | 收入 | 5 | 零钱 | 已全额退款 | 50100907482026061698962304457 |  | /</t>
        </is>
      </c>
    </row>
    <row r="174">
      <c r="A174" t="inlineStr">
        <is>
          <t>2026-06-16</t>
        </is>
      </c>
      <c r="B174" t="inlineStr">
        <is>
          <t>微信</t>
        </is>
      </c>
      <c r="C174" t="inlineStr">
        <is>
          <t>支出</t>
        </is>
      </c>
      <c r="D174" t="n">
        <v>9</v>
      </c>
      <c r="E174" t="inlineStr">
        <is>
          <t>待分类</t>
        </is>
      </c>
      <c r="F174" t="inlineStr">
        <is>
          <t>速停车 / 川A6Z73C-招商大魔方 / 支付成功</t>
        </is>
      </c>
      <c r="G174" t="inlineStr">
        <is>
          <t>账单导入/2026-07-05/extracted/微信/微信支付账单流水文件(20260405-20260705)——【解压密码可在微信支付公众号查看】.xlsx</t>
        </is>
      </c>
      <c r="H174" t="inlineStr">
        <is>
          <t>中</t>
        </is>
      </c>
      <c r="I174" t="inlineStr">
        <is>
          <t>个人/公司归属不明确，请确认</t>
        </is>
      </c>
      <c r="J174" t="inlineStr">
        <is>
          <t>待确认</t>
        </is>
      </c>
      <c r="K174" t="inlineStr"/>
      <c r="L174" t="inlineStr">
        <is>
          <t>7b105bfd49fcfbe3</t>
        </is>
      </c>
      <c r="M174" t="inlineStr">
        <is>
          <t>20260705-174222-auto-bills</t>
        </is>
      </c>
      <c r="N174" t="inlineStr">
        <is>
          <t>2026-06-16 22:49:13 | 商户消费 | 速停车 | 川A6Z73C-招商大魔方 | 支出 | 9 | 零钱 | 支付成功 | 4200003222202606165084122204 | 30JWCPST202606165370593 | /</t>
        </is>
      </c>
    </row>
    <row r="175">
      <c r="A175" t="inlineStr">
        <is>
          <t>2026-06-16</t>
        </is>
      </c>
      <c r="B175" t="inlineStr">
        <is>
          <t>微信</t>
        </is>
      </c>
      <c r="C175" t="inlineStr">
        <is>
          <t>成本</t>
        </is>
      </c>
      <c r="D175" t="n">
        <v>29.5</v>
      </c>
      <c r="E175" t="inlineStr">
        <is>
          <t>购买费用</t>
        </is>
      </c>
      <c r="F175" t="inlineStr">
        <is>
          <t>拼多多平台商户 / 先用后付 / 支付成功</t>
        </is>
      </c>
      <c r="G175" t="inlineStr">
        <is>
          <t>账单导入/2026-07-05/extracted/微信/微信支付账单流水文件(20260405-20260705)——【解压密码可在微信支付公众号查看】.xlsx</t>
        </is>
      </c>
      <c r="H175" t="inlineStr">
        <is>
          <t>中</t>
        </is>
      </c>
      <c r="I175" t="inlineStr">
        <is>
          <t>疑似公司交易，请确认用途</t>
        </is>
      </c>
      <c r="J175" t="inlineStr">
        <is>
          <t>待确认</t>
        </is>
      </c>
      <c r="K175" t="inlineStr"/>
      <c r="L175" t="inlineStr">
        <is>
          <t>46a672cd946d943e</t>
        </is>
      </c>
      <c r="M175" t="inlineStr">
        <is>
          <t>20260705-174222-auto-bills</t>
        </is>
      </c>
      <c r="N175" t="inlineStr">
        <is>
          <t>2026-06-16 10:08:37 | 商户消费 | 拼多多平台商户 | 先用后付 | 支出 | 29.5 | 招商银行信用卡(1439) | 支付成功 | 4200003136202606164215289966 | HpQ7YCU9PwO-1YLYArP1qxxxxxxC-r0x | /</t>
        </is>
      </c>
    </row>
    <row r="176">
      <c r="A176" t="inlineStr">
        <is>
          <t>2026-06-16</t>
        </is>
      </c>
      <c r="B176" t="inlineStr">
        <is>
          <t>微信</t>
        </is>
      </c>
      <c r="C176" t="inlineStr">
        <is>
          <t>支出</t>
        </is>
      </c>
      <c r="D176" t="n">
        <v>37</v>
      </c>
      <c r="E176" t="inlineStr">
        <is>
          <t>待分类</t>
        </is>
      </c>
      <c r="F176" t="inlineStr">
        <is>
          <t>爷爷不泡茶 / 【堂食】_成都环球中心店_507998_CHN00280052 / 支付成功</t>
        </is>
      </c>
      <c r="G176" t="inlineStr">
        <is>
          <t>账单导入/2026-07-05/extracted/微信/微信支付账单流水文件(20260405-20260705)——【解压密码可在微信支付公众号查看】.xlsx</t>
        </is>
      </c>
      <c r="H176" t="inlineStr">
        <is>
          <t>中</t>
        </is>
      </c>
      <c r="I176" t="inlineStr">
        <is>
          <t>个人/公司归属不明确，请确认</t>
        </is>
      </c>
      <c r="J176" t="inlineStr">
        <is>
          <t>待确认</t>
        </is>
      </c>
      <c r="K176" t="inlineStr"/>
      <c r="L176" t="inlineStr">
        <is>
          <t>43a9076d6915a60d</t>
        </is>
      </c>
      <c r="M176" t="inlineStr">
        <is>
          <t>20260705-174222-auto-bills</t>
        </is>
      </c>
      <c r="N176" t="inlineStr">
        <is>
          <t>2026-06-16 15:46:16 | 商户消费 | 爷爷不泡茶 | 【堂食】_成都环球中心店_507998_CHN00280052 | 支出 | 37 | 零钱 | 支付成功 | 4200003185202606167942388591 | 180398401011626061615461022724 | /</t>
        </is>
      </c>
    </row>
    <row r="177">
      <c r="A177" t="inlineStr">
        <is>
          <t>2026-06-16</t>
        </is>
      </c>
      <c r="B177" t="inlineStr">
        <is>
          <t>微信</t>
        </is>
      </c>
      <c r="C177" t="inlineStr">
        <is>
          <t>收入</t>
        </is>
      </c>
      <c r="D177" t="n">
        <v>60</v>
      </c>
      <c r="E177" t="inlineStr">
        <is>
          <t>待分类</t>
        </is>
      </c>
      <c r="F177" t="inlineStr">
        <is>
          <t>爱吃DQ的仓鼠🐹 (爱吃DQ的仓鼠🐹) / 转账备注:微信转账 / 已存入零钱</t>
        </is>
      </c>
      <c r="G177" t="inlineStr">
        <is>
          <t>账单导入/2026-07-05/extracted/微信/微信支付账单流水文件(20260405-20260705)——【解压密码可在微信支付公众号查看】.xlsx</t>
        </is>
      </c>
      <c r="H177" t="inlineStr">
        <is>
          <t>中</t>
        </is>
      </c>
      <c r="I177" t="inlineStr">
        <is>
          <t>个人/公司归属不明确，请确认</t>
        </is>
      </c>
      <c r="J177" t="inlineStr">
        <is>
          <t>待确认</t>
        </is>
      </c>
      <c r="K177" t="inlineStr"/>
      <c r="L177" t="inlineStr">
        <is>
          <t>5a2c329e716c31dc</t>
        </is>
      </c>
      <c r="M177" t="inlineStr">
        <is>
          <t>20260705-174222-auto-bills</t>
        </is>
      </c>
      <c r="N177" t="inlineStr">
        <is>
          <t>2026-06-16 20:53:25 | 转账 | 爱吃DQ的仓鼠🐹 (爱吃DQ的仓鼠🐹) | 转账备注:微信转账 | 收入 | 60 | / | 已存入零钱 | 1000050001202606160325576043648 | / | /</t>
        </is>
      </c>
    </row>
    <row r="178">
      <c r="A178" t="inlineStr">
        <is>
          <t>2026-06-16</t>
        </is>
      </c>
      <c r="B178" t="inlineStr">
        <is>
          <t>微信</t>
        </is>
      </c>
      <c r="C178" t="inlineStr">
        <is>
          <t>支出</t>
        </is>
      </c>
      <c r="D178" t="n">
        <v>68</v>
      </c>
      <c r="E178" t="inlineStr">
        <is>
          <t>待分类</t>
        </is>
      </c>
      <c r="F178" t="inlineStr">
        <is>
          <t>风自边 (风自边) / 转账备注:微信转账 / 对方已收钱</t>
        </is>
      </c>
      <c r="G178" t="inlineStr">
        <is>
          <t>账单导入/2026-07-05/extracted/微信/微信支付账单流水文件(20260405-20260705)——【解压密码可在微信支付公众号查看】.xlsx</t>
        </is>
      </c>
      <c r="H178" t="inlineStr">
        <is>
          <t>中</t>
        </is>
      </c>
      <c r="I178" t="inlineStr">
        <is>
          <t>个人/公司归属不明确，请确认</t>
        </is>
      </c>
      <c r="J178" t="inlineStr">
        <is>
          <t>待确认</t>
        </is>
      </c>
      <c r="K178" t="inlineStr"/>
      <c r="L178" t="inlineStr">
        <is>
          <t>970e1da5a258ea89</t>
        </is>
      </c>
      <c r="M178" t="inlineStr">
        <is>
          <t>20260705-174222-auto-bills</t>
        </is>
      </c>
      <c r="N178" t="inlineStr">
        <is>
          <t>2026-06-16 20:11:19 | 转账 | 风自边 (风自边) | 转账备注:微信转账 | 支出 | 68 | 零钱 | 对方已收钱 | 53010003147014202606161088485486 | 1000050001202606160237010489339 | /</t>
        </is>
      </c>
    </row>
    <row r="179">
      <c r="A179" t="inlineStr">
        <is>
          <t>2026-06-16</t>
        </is>
      </c>
      <c r="B179" t="inlineStr">
        <is>
          <t>微信</t>
        </is>
      </c>
      <c r="C179" t="inlineStr">
        <is>
          <t>支出</t>
        </is>
      </c>
      <c r="D179" t="n">
        <v>110</v>
      </c>
      <c r="E179" t="inlineStr">
        <is>
          <t>待分类</t>
        </is>
      </c>
      <c r="F179" t="inlineStr">
        <is>
          <t>应东林 (应东林) / 转账备注:微信转账 / 对方已收钱</t>
        </is>
      </c>
      <c r="G179" t="inlineStr">
        <is>
          <t>账单导入/2026-07-05/extracted/微信/微信支付账单流水文件(20260405-20260705)——【解压密码可在微信支付公众号查看】.xlsx</t>
        </is>
      </c>
      <c r="H179" t="inlineStr">
        <is>
          <t>中</t>
        </is>
      </c>
      <c r="I179" t="inlineStr">
        <is>
          <t>个人/公司归属不明确，请确认</t>
        </is>
      </c>
      <c r="J179" t="inlineStr">
        <is>
          <t>待确认</t>
        </is>
      </c>
      <c r="K179" t="inlineStr"/>
      <c r="L179" t="inlineStr">
        <is>
          <t>2f1d56658bcdd5f5</t>
        </is>
      </c>
      <c r="M179" t="inlineStr">
        <is>
          <t>20260705-174222-auto-bills</t>
        </is>
      </c>
      <c r="N179" t="inlineStr">
        <is>
          <t>2026-06-16 20:52:52 | 转账 | 应东林 (应东林) | 转账备注:微信转账 | 支出 | 110 | 零钱 | 对方已收钱 | 53010003289227202606160794375214 | 1000050001202606160433915402023 | /</t>
        </is>
      </c>
    </row>
    <row r="180">
      <c r="A180" t="inlineStr">
        <is>
          <t>2026-06-16</t>
        </is>
      </c>
      <c r="B180" t="inlineStr">
        <is>
          <t>微信</t>
        </is>
      </c>
      <c r="C180" t="inlineStr">
        <is>
          <t>支出</t>
        </is>
      </c>
      <c r="D180" t="n">
        <v>295</v>
      </c>
      <c r="E180" t="inlineStr">
        <is>
          <t>待分类</t>
        </is>
      </c>
      <c r="F180" t="inlineStr">
        <is>
          <t>星际传奇代言人（没回消息打语音） (星际传奇代言人（没回消息打语音）) / 转账备注:微信转账 / 对方已收钱</t>
        </is>
      </c>
      <c r="G180" t="inlineStr">
        <is>
          <t>账单导入/2026-07-05/extracted/微信/微信支付账单流水文件(20260405-20260705)——【解压密码可在微信支付公众号查看】.xlsx</t>
        </is>
      </c>
      <c r="H180" t="inlineStr">
        <is>
          <t>中</t>
        </is>
      </c>
      <c r="I180" t="inlineStr">
        <is>
          <t>个人/公司归属不明确，请确认</t>
        </is>
      </c>
      <c r="J180" t="inlineStr">
        <is>
          <t>待确认</t>
        </is>
      </c>
      <c r="K180" t="inlineStr"/>
      <c r="L180" t="inlineStr">
        <is>
          <t>c5606286a94d5b49</t>
        </is>
      </c>
      <c r="M180" t="inlineStr">
        <is>
          <t>20260705-174222-auto-bills</t>
        </is>
      </c>
      <c r="N180" t="inlineStr">
        <is>
          <t>2026-06-16 17:33:21 | 转账 | 星际传奇代言人（没回消息打语音） (星际传奇代言人（没回消息打语音）) | 转账备注:微信转账 | 支出 | 295 | 零钱 | 对方已收钱 | 53010003154059202606160046306432 | 1000050001202606160330510382858 | /</t>
        </is>
      </c>
    </row>
    <row r="181">
      <c r="A181" t="inlineStr">
        <is>
          <t>2026-06-17</t>
        </is>
      </c>
      <c r="B181" t="inlineStr">
        <is>
          <t>微信</t>
        </is>
      </c>
      <c r="C181" t="inlineStr">
        <is>
          <t>支出</t>
        </is>
      </c>
      <c r="D181" t="n">
        <v>4</v>
      </c>
      <c r="E181" t="inlineStr">
        <is>
          <t>待分类</t>
        </is>
      </c>
      <c r="F181" t="inlineStr">
        <is>
          <t>一码通行 / 一码YiMa商户-泉葫路便民停车场-川A6Z73C / 支付成功</t>
        </is>
      </c>
      <c r="G181" t="inlineStr">
        <is>
          <t>账单导入/2026-07-05/extracted/微信/微信支付账单流水文件(20260405-20260705)——【解压密码可在微信支付公众号查看】.xlsx</t>
        </is>
      </c>
      <c r="H181" t="inlineStr">
        <is>
          <t>中</t>
        </is>
      </c>
      <c r="I181" t="inlineStr">
        <is>
          <t>个人/公司归属不明确，请确认</t>
        </is>
      </c>
      <c r="J181" t="inlineStr">
        <is>
          <t>待确认</t>
        </is>
      </c>
      <c r="K181" t="inlineStr"/>
      <c r="L181" t="inlineStr">
        <is>
          <t>ffcd786513298fff</t>
        </is>
      </c>
      <c r="M181" t="inlineStr">
        <is>
          <t>20260705-174222-auto-bills</t>
        </is>
      </c>
      <c r="N181" t="inlineStr">
        <is>
          <t>2026-06-17 16:28:23 | 商户消费 | 一码通行 | 一码YiMa商户-泉葫路便民停车场-川A6Z73C | 支出 | 4 | 零钱 | 支付成功 | 4500000224202606176137233187 | 9000900700626168 | /</t>
        </is>
      </c>
    </row>
    <row r="182">
      <c r="A182" t="inlineStr">
        <is>
          <t>2026-06-17</t>
        </is>
      </c>
      <c r="B182" t="inlineStr">
        <is>
          <t>微信</t>
        </is>
      </c>
      <c r="C182" t="inlineStr">
        <is>
          <t>支出</t>
        </is>
      </c>
      <c r="D182" t="n">
        <v>10</v>
      </c>
      <c r="E182" t="inlineStr">
        <is>
          <t>待分类</t>
        </is>
      </c>
      <c r="F182" t="inlineStr">
        <is>
          <t>成都双流万达广场商业管理有限公司 / 双xxxx场-川A6Z73C-ETCP小程序 / 支付成功</t>
        </is>
      </c>
      <c r="G182" t="inlineStr">
        <is>
          <t>账单导入/2026-07-05/extracted/微信/微信支付账单流水文件(20260405-20260705)——【解压密码可在微信支付公众号查看】.xlsx</t>
        </is>
      </c>
      <c r="H182" t="inlineStr">
        <is>
          <t>中</t>
        </is>
      </c>
      <c r="I182" t="inlineStr">
        <is>
          <t>个人/公司归属不明确，请确认</t>
        </is>
      </c>
      <c r="J182" t="inlineStr">
        <is>
          <t>待确认</t>
        </is>
      </c>
      <c r="K182" t="inlineStr"/>
      <c r="L182" t="inlineStr">
        <is>
          <t>80990b10e00722f4</t>
        </is>
      </c>
      <c r="M182" t="inlineStr">
        <is>
          <t>20260705-174222-auto-bills</t>
        </is>
      </c>
      <c r="N182" t="inlineStr">
        <is>
          <t>2026-06-17 20:24:56 | 商户消费 | 成都双流万达广场商业管理有限公司 | 双xxxx场-川A6Z73C-ETCP小程序 | 支出 | 10 | 零钱 | 支付成功 | 4200003197202606170225560187 | P2026061720244793598199223177721 | /</t>
        </is>
      </c>
    </row>
    <row r="183">
      <c r="A183" t="inlineStr">
        <is>
          <t>2026-06-17</t>
        </is>
      </c>
      <c r="B183" t="inlineStr">
        <is>
          <t>微信</t>
        </is>
      </c>
      <c r="C183" t="inlineStr">
        <is>
          <t>支出</t>
        </is>
      </c>
      <c r="D183" t="n">
        <v>35</v>
      </c>
      <c r="E183" t="inlineStr">
        <is>
          <t>待分类</t>
        </is>
      </c>
      <c r="F183" t="inlineStr">
        <is>
          <t>NewTV系列产品 / 星钻超级VIP 连续包月 / 支付成功</t>
        </is>
      </c>
      <c r="G183" t="inlineStr">
        <is>
          <t>账单导入/2026-07-05/extracted/微信/微信支付账单流水文件(20260405-20260705)——【解压密码可在微信支付公众号查看】.xlsx</t>
        </is>
      </c>
      <c r="H183" t="inlineStr">
        <is>
          <t>中</t>
        </is>
      </c>
      <c r="I183" t="inlineStr">
        <is>
          <t>个人/公司归属不明确，请确认</t>
        </is>
      </c>
      <c r="J183" t="inlineStr">
        <is>
          <t>待确认</t>
        </is>
      </c>
      <c r="K183" t="inlineStr"/>
      <c r="L183" t="inlineStr">
        <is>
          <t>7ba063d59ae4371a</t>
        </is>
      </c>
      <c r="M183" t="inlineStr">
        <is>
          <t>20260705-174222-auto-bills</t>
        </is>
      </c>
      <c r="N183" t="inlineStr">
        <is>
          <t>2026-06-17 03:11:53 | 商户消费 | NewTV系列产品 | 星钻超级VIP 连续包月 | 支出 | 35 | 零钱 | 支付成功 | 4200003127202606173607528571 | T202606170001004628 | /</t>
        </is>
      </c>
    </row>
    <row r="184">
      <c r="A184" t="inlineStr">
        <is>
          <t>2026-06-17</t>
        </is>
      </c>
      <c r="B184" t="inlineStr">
        <is>
          <t>微信</t>
        </is>
      </c>
      <c r="C184" t="inlineStr">
        <is>
          <t>收入</t>
        </is>
      </c>
      <c r="D184" t="n">
        <v>66.5</v>
      </c>
      <c r="E184" t="inlineStr">
        <is>
          <t>待分类</t>
        </is>
      </c>
      <c r="F184" t="inlineStr">
        <is>
          <t>双彩店.（款到出票.美加墨世界杯） (双彩店.（款到出票.美加墨世界杯）) / 收款方备注:二维码收款 / 已收钱</t>
        </is>
      </c>
      <c r="G184" t="inlineStr">
        <is>
          <t>账单导入/2026-07-05/extracted/微信/微信支付账单流水文件(20260405-20260705)——【解压密码可在微信支付公众号查看】.xlsx</t>
        </is>
      </c>
      <c r="H184" t="inlineStr">
        <is>
          <t>中</t>
        </is>
      </c>
      <c r="I184" t="inlineStr">
        <is>
          <t>个人/公司归属不明确，请确认</t>
        </is>
      </c>
      <c r="J184" t="inlineStr">
        <is>
          <t>待确认</t>
        </is>
      </c>
      <c r="K184" t="inlineStr"/>
      <c r="L184" t="inlineStr">
        <is>
          <t>3dde78a5f0747cda</t>
        </is>
      </c>
      <c r="M184" t="inlineStr">
        <is>
          <t>20260705-174222-auto-bills</t>
        </is>
      </c>
      <c r="N184" t="inlineStr">
        <is>
          <t>2026-06-17 13:50:42 | 二维码收款 | 双彩店.（款到出票.美加墨世界杯） (双彩店.（款到出票.美加墨世界杯）) | 收款方备注:二维码收款 | 收入 | 66.5 | 零钱 | 已收钱 | 10001073012026061701565056017525 | / | /</t>
        </is>
      </c>
    </row>
    <row r="185">
      <c r="A185" t="inlineStr">
        <is>
          <t>2026-06-17</t>
        </is>
      </c>
      <c r="B185" t="inlineStr">
        <is>
          <t>微信</t>
        </is>
      </c>
      <c r="C185" t="inlineStr">
        <is>
          <t>退款</t>
        </is>
      </c>
      <c r="D185" t="n">
        <v>99</v>
      </c>
      <c r="E185" t="inlineStr">
        <is>
          <t>待分类</t>
        </is>
      </c>
      <c r="F185" t="inlineStr">
        <is>
          <t>好好学习 / 好好学习 / 已全额退款</t>
        </is>
      </c>
      <c r="G185" t="inlineStr">
        <is>
          <t>账单导入/2026-07-05/extracted/微信/微信支付账单流水文件(20260405-20260705)——【解压密码可在微信支付公众号查看】.xlsx</t>
        </is>
      </c>
      <c r="H185" t="inlineStr">
        <is>
          <t>中</t>
        </is>
      </c>
      <c r="I185" t="inlineStr">
        <is>
          <t>个人/公司归属不明确，请确认</t>
        </is>
      </c>
      <c r="J185" t="inlineStr">
        <is>
          <t>待确认</t>
        </is>
      </c>
      <c r="K185" t="inlineStr"/>
      <c r="L185" t="inlineStr">
        <is>
          <t>55eb7e7831d5f882</t>
        </is>
      </c>
      <c r="M185" t="inlineStr">
        <is>
          <t>20260705-174222-auto-bills</t>
        </is>
      </c>
      <c r="N185" t="inlineStr">
        <is>
          <t>2026-06-17 17:19:44 | 好好学习-退款 | 好好学习 | 好好学习 | 收入 | 99 | 零钱 | 已全额退款 | 50303407502026061733623808737 |  | /</t>
        </is>
      </c>
    </row>
    <row r="186">
      <c r="A186" t="inlineStr">
        <is>
          <t>2026-06-17</t>
        </is>
      </c>
      <c r="B186" t="inlineStr">
        <is>
          <t>微信</t>
        </is>
      </c>
      <c r="C186" t="inlineStr">
        <is>
          <t>支出</t>
        </is>
      </c>
      <c r="D186" t="n">
        <v>120</v>
      </c>
      <c r="E186" t="inlineStr">
        <is>
          <t>待分类</t>
        </is>
      </c>
      <c r="F186" t="inlineStr">
        <is>
          <t>双彩店.（款到出票.美加墨世界杯） (双彩店.（款到出票.美加墨世界杯）) / 转账备注:微信转账 / 对方已收钱</t>
        </is>
      </c>
      <c r="G186" t="inlineStr">
        <is>
          <t>账单导入/2026-07-05/extracted/微信/微信支付账单流水文件(20260405-20260705)——【解压密码可在微信支付公众号查看】.xlsx</t>
        </is>
      </c>
      <c r="H186" t="inlineStr">
        <is>
          <t>中</t>
        </is>
      </c>
      <c r="I186" t="inlineStr">
        <is>
          <t>个人/公司归属不明确，请确认</t>
        </is>
      </c>
      <c r="J186" t="inlineStr">
        <is>
          <t>待确认</t>
        </is>
      </c>
      <c r="K186" t="inlineStr"/>
      <c r="L186" t="inlineStr">
        <is>
          <t>6cece646e449424d</t>
        </is>
      </c>
      <c r="M186" t="inlineStr">
        <is>
          <t>20260705-174222-auto-bills</t>
        </is>
      </c>
      <c r="N186" t="inlineStr">
        <is>
          <t>2026-06-17 14:10:47 | 转账 | 双彩店.（款到出票.美加墨世界杯） (双彩店.（款到出票.美加墨世界杯）) | 转账备注:微信转账 | 支出 | 120 | 零钱 | 对方已收钱 | 53010003270046202606171602489652 | 1000050001202606170438421019894 | /</t>
        </is>
      </c>
    </row>
    <row r="187">
      <c r="A187" t="inlineStr">
        <is>
          <t>2026-06-17</t>
        </is>
      </c>
      <c r="B187" t="inlineStr">
        <is>
          <t>微信</t>
        </is>
      </c>
      <c r="C187" t="inlineStr">
        <is>
          <t>支出</t>
        </is>
      </c>
      <c r="D187" t="n">
        <v>130</v>
      </c>
      <c r="E187" t="inlineStr">
        <is>
          <t>待分类</t>
        </is>
      </c>
      <c r="F187" t="inlineStr">
        <is>
          <t>爱吃DQ的仓鼠🐹 (爱吃DQ的仓鼠🐹) / 转账备注:微信转账 / 对方已收钱</t>
        </is>
      </c>
      <c r="G187" t="inlineStr">
        <is>
          <t>账单导入/2026-07-05/extracted/微信/微信支付账单流水文件(20260405-20260705)——【解压密码可在微信支付公众号查看】.xlsx</t>
        </is>
      </c>
      <c r="H187" t="inlineStr">
        <is>
          <t>中</t>
        </is>
      </c>
      <c r="I187" t="inlineStr">
        <is>
          <t>个人/公司归属不明确，请确认</t>
        </is>
      </c>
      <c r="J187" t="inlineStr">
        <is>
          <t>待确认</t>
        </is>
      </c>
      <c r="K187" t="inlineStr"/>
      <c r="L187" t="inlineStr">
        <is>
          <t>37513d0fd644ef59</t>
        </is>
      </c>
      <c r="M187" t="inlineStr">
        <is>
          <t>20260705-174222-auto-bills</t>
        </is>
      </c>
      <c r="N187" t="inlineStr">
        <is>
          <t>2026-06-17 13:45:19 | 转账 | 爱吃DQ的仓鼠🐹 (爱吃DQ的仓鼠🐹) | 转账备注:微信转账 | 支出 | 130 | 零钱 | 对方已收钱 | 53010003257195202606172346879416 | 1000050001202606170634323182194 | /</t>
        </is>
      </c>
    </row>
    <row r="188">
      <c r="A188" t="inlineStr">
        <is>
          <t>2026-06-17</t>
        </is>
      </c>
      <c r="B188" t="inlineStr">
        <is>
          <t>招商银行</t>
        </is>
      </c>
      <c r="C188" t="inlineStr">
        <is>
          <t>支出</t>
        </is>
      </c>
      <c r="D188" t="n">
        <v>1</v>
      </c>
      <c r="E188" t="inlineStr">
        <is>
          <t>待分类</t>
        </is>
      </c>
      <c r="F188" t="inlineStr">
        <is>
          <t>CNY -  快捷支付 吴文凯</t>
        </is>
      </c>
      <c r="G188" t="inlineStr">
        <is>
          <t>账单导入/2026-07-05/extracted/招商银行/招商银行交易流水(申请时间2026年07月05日15时41分46秒).pdf</t>
        </is>
      </c>
      <c r="H188" t="inlineStr">
        <is>
          <t>中</t>
        </is>
      </c>
      <c r="I188" t="inlineStr">
        <is>
          <t>个人/公司归属不明确，请确认</t>
        </is>
      </c>
      <c r="J188" t="inlineStr">
        <is>
          <t>待确认</t>
        </is>
      </c>
      <c r="K188" t="inlineStr"/>
      <c r="L188" t="inlineStr">
        <is>
          <t>a5d0cfffb0adeca1</t>
        </is>
      </c>
      <c r="M188" t="inlineStr">
        <is>
          <t>20260705-174222-auto-bills</t>
        </is>
      </c>
      <c r="N188" t="inlineStr">
        <is>
          <t>2026-06-17 CNY -1.00 6,937.43 快捷支付 吴文凯</t>
        </is>
      </c>
    </row>
    <row r="189">
      <c r="A189" t="inlineStr">
        <is>
          <t>2026-06-17</t>
        </is>
      </c>
      <c r="B189" t="inlineStr">
        <is>
          <t>招商银行</t>
        </is>
      </c>
      <c r="C189" t="inlineStr">
        <is>
          <t>支出</t>
        </is>
      </c>
      <c r="D189" t="n">
        <v>7.13</v>
      </c>
      <c r="E189" t="inlineStr">
        <is>
          <t>待分类</t>
        </is>
      </c>
      <c r="F189" t="inlineStr">
        <is>
          <t>CNY -  快捷支付 邱祖金</t>
        </is>
      </c>
      <c r="G189" t="inlineStr">
        <is>
          <t>账单导入/2026-07-05/extracted/招商银行/招商银行交易流水(申请时间2026年07月05日15时41分46秒).pdf</t>
        </is>
      </c>
      <c r="H189" t="inlineStr">
        <is>
          <t>中</t>
        </is>
      </c>
      <c r="I189" t="inlineStr">
        <is>
          <t>个人/公司归属不明确，请确认</t>
        </is>
      </c>
      <c r="J189" t="inlineStr">
        <is>
          <t>待确认</t>
        </is>
      </c>
      <c r="K189" t="inlineStr"/>
      <c r="L189" t="inlineStr">
        <is>
          <t>ba51964b81898010</t>
        </is>
      </c>
      <c r="M189" t="inlineStr">
        <is>
          <t>20260705-174222-auto-bills</t>
        </is>
      </c>
      <c r="N189" t="inlineStr">
        <is>
          <t>2026-06-17 CNY -7.13 6,938.43 快捷支付 邱祖金</t>
        </is>
      </c>
    </row>
    <row r="190">
      <c r="A190" t="inlineStr">
        <is>
          <t>2026-06-18</t>
        </is>
      </c>
      <c r="B190" t="inlineStr">
        <is>
          <t>微信</t>
        </is>
      </c>
      <c r="C190" t="inlineStr">
        <is>
          <t>支出</t>
        </is>
      </c>
      <c r="D190" t="n">
        <v>68</v>
      </c>
      <c r="E190" t="inlineStr">
        <is>
          <t>待分类</t>
        </is>
      </c>
      <c r="F190" t="inlineStr">
        <is>
          <t>成都破房子烂蹄花 / 破房子烂蹄花(4452) / 支付成功</t>
        </is>
      </c>
      <c r="G190" t="inlineStr">
        <is>
          <t>账单导入/2026-07-05/extracted/微信/微信支付账单流水文件(20260405-20260705)——【解压密码可在微信支付公众号查看】.xlsx</t>
        </is>
      </c>
      <c r="H190" t="inlineStr">
        <is>
          <t>中</t>
        </is>
      </c>
      <c r="I190" t="inlineStr">
        <is>
          <t>个人/公司归属不明确，请确认</t>
        </is>
      </c>
      <c r="J190" t="inlineStr">
        <is>
          <t>待确认</t>
        </is>
      </c>
      <c r="K190" t="inlineStr"/>
      <c r="L190" t="inlineStr">
        <is>
          <t>6c9d8cdc0cf7d7f0</t>
        </is>
      </c>
      <c r="M190" t="inlineStr">
        <is>
          <t>20260705-174222-auto-bills</t>
        </is>
      </c>
      <c r="N190" t="inlineStr">
        <is>
          <t>2026-06-18 12:42:22 | 商户消费 | 成都破房子烂蹄花 | 破房子烂蹄花(4452) | 支出 | 68 | 零钱 | 支付成功 | 4500000179202606187379910708 | 20260618CChg3n5v | /</t>
        </is>
      </c>
    </row>
    <row r="191">
      <c r="A191" t="inlineStr">
        <is>
          <t>2026-06-18</t>
        </is>
      </c>
      <c r="B191" t="inlineStr">
        <is>
          <t>微信</t>
        </is>
      </c>
      <c r="C191" t="inlineStr">
        <is>
          <t>收入</t>
        </is>
      </c>
      <c r="D191" t="n">
        <v>890.5</v>
      </c>
      <c r="E191" t="inlineStr">
        <is>
          <t>待分类</t>
        </is>
      </c>
      <c r="F191" t="inlineStr">
        <is>
          <t>15828492413小程哥体彩福彩店 (15828492413小程哥体彩福彩店) / 收款方备注:二维码收款 / 已收钱</t>
        </is>
      </c>
      <c r="G191" t="inlineStr">
        <is>
          <t>账单导入/2026-07-05/extracted/微信/微信支付账单流水文件(20260405-20260705)——【解压密码可在微信支付公众号查看】.xlsx</t>
        </is>
      </c>
      <c r="H191" t="inlineStr">
        <is>
          <t>中</t>
        </is>
      </c>
      <c r="I191" t="inlineStr">
        <is>
          <t>个人/公司归属不明确，请确认</t>
        </is>
      </c>
      <c r="J191" t="inlineStr">
        <is>
          <t>待确认</t>
        </is>
      </c>
      <c r="K191" t="inlineStr"/>
      <c r="L191" t="inlineStr">
        <is>
          <t>c84801bb1fdefcca</t>
        </is>
      </c>
      <c r="M191" t="inlineStr">
        <is>
          <t>20260705-174222-auto-bills</t>
        </is>
      </c>
      <c r="N191" t="inlineStr">
        <is>
          <t>2026-06-18 12:51:47 | 二维码收款 | 15828492413小程哥体彩福彩店 (15828492413小程哥体彩福彩店) | 收款方备注:二维码收款 | 收入 | 890.5 | 零钱 | 已收钱 | 10001073012026061801188415620529 | / | /</t>
        </is>
      </c>
    </row>
    <row r="192">
      <c r="A192" t="inlineStr">
        <is>
          <t>2026-06-20</t>
        </is>
      </c>
      <c r="B192" t="inlineStr">
        <is>
          <t>微信</t>
        </is>
      </c>
      <c r="C192" t="inlineStr">
        <is>
          <t>成本</t>
        </is>
      </c>
      <c r="D192" t="n">
        <v>4.4</v>
      </c>
      <c r="E192" t="inlineStr">
        <is>
          <t>购买费用</t>
        </is>
      </c>
      <c r="F192" t="inlineStr">
        <is>
          <t>美团 / 免押租借充电宝 / 支付成功</t>
        </is>
      </c>
      <c r="G192" t="inlineStr">
        <is>
          <t>账单导入/2026-07-05/extracted/微信/微信支付账单流水文件(20260405-20260705)——【解压密码可在微信支付公众号查看】.xlsx</t>
        </is>
      </c>
      <c r="H192" t="inlineStr">
        <is>
          <t>中</t>
        </is>
      </c>
      <c r="I192" t="inlineStr">
        <is>
          <t>疑似公司交易，请确认用途</t>
        </is>
      </c>
      <c r="J192" t="inlineStr">
        <is>
          <t>待确认</t>
        </is>
      </c>
      <c r="K192" t="inlineStr"/>
      <c r="L192" t="inlineStr">
        <is>
          <t>9ae47f79706d0231</t>
        </is>
      </c>
      <c r="M192" t="inlineStr">
        <is>
          <t>20260705-174222-auto-bills</t>
        </is>
      </c>
      <c r="N192" t="inlineStr">
        <is>
          <t>2026-06-20 17:25:17 | 商户消费 | 美团 | 免押租借充电宝 | 支出 | 4.4 | 招商银行信用卡(1439) | 支付成功 | 4200003167202606209642047900 | qCjyEQwgeBMOHLNSSahYQ7xxxxxRXJZx | /</t>
        </is>
      </c>
    </row>
    <row r="193">
      <c r="A193" t="inlineStr">
        <is>
          <t>2026-06-20</t>
        </is>
      </c>
      <c r="B193" t="inlineStr">
        <is>
          <t>微信</t>
        </is>
      </c>
      <c r="C193" t="inlineStr">
        <is>
          <t>支出</t>
        </is>
      </c>
      <c r="D193" t="n">
        <v>6</v>
      </c>
      <c r="E193" t="inlineStr">
        <is>
          <t>待分类</t>
        </is>
      </c>
      <c r="F193" t="inlineStr">
        <is>
          <t>58神奇空间 / 川A6Z73C五八西部中心支付停车费 / 支付成功</t>
        </is>
      </c>
      <c r="G193" t="inlineStr">
        <is>
          <t>账单导入/2026-07-05/extracted/微信/微信支付账单流水文件(20260405-20260705)——【解压密码可在微信支付公众号查看】.xlsx</t>
        </is>
      </c>
      <c r="H193" t="inlineStr">
        <is>
          <t>中</t>
        </is>
      </c>
      <c r="I193" t="inlineStr">
        <is>
          <t>个人/公司归属不明确，请确认</t>
        </is>
      </c>
      <c r="J193" t="inlineStr">
        <is>
          <t>待确认</t>
        </is>
      </c>
      <c r="K193" t="inlineStr"/>
      <c r="L193" t="inlineStr">
        <is>
          <t>72a94218907ec03f</t>
        </is>
      </c>
      <c r="M193" t="inlineStr">
        <is>
          <t>20260705-174222-auto-bills</t>
        </is>
      </c>
      <c r="N193" t="inlineStr">
        <is>
          <t>2026-06-20 14:50:37 | 商户消费 | 58神奇空间 | 川A6Z73C五八西部中心支付停车费 | 支出 | 6 | 零钱 | 支付成功 | 4500000207202606201486111707 | 260620145030607721599543450 | /</t>
        </is>
      </c>
    </row>
    <row r="194">
      <c r="A194" t="inlineStr">
        <is>
          <t>2026-06-20</t>
        </is>
      </c>
      <c r="B194" t="inlineStr">
        <is>
          <t>微信</t>
        </is>
      </c>
      <c r="C194" t="inlineStr">
        <is>
          <t>支出</t>
        </is>
      </c>
      <c r="D194" t="n">
        <v>10</v>
      </c>
      <c r="E194" t="inlineStr">
        <is>
          <t>待分类</t>
        </is>
      </c>
      <c r="F194" t="inlineStr">
        <is>
          <t>耐斯超市 / 2502元气森林低糖 / 支付成功</t>
        </is>
      </c>
      <c r="G194" t="inlineStr">
        <is>
          <t>账单导入/2026-07-05/extracted/微信/微信支付账单流水文件(20260405-20260705)——【解压密码可在微信支付公众号查看】.xlsx</t>
        </is>
      </c>
      <c r="H194" t="inlineStr">
        <is>
          <t>中</t>
        </is>
      </c>
      <c r="I194" t="inlineStr">
        <is>
          <t>疑似个人交易，请确认是否排除</t>
        </is>
      </c>
      <c r="J194" t="inlineStr">
        <is>
          <t>待确认</t>
        </is>
      </c>
      <c r="K194" t="inlineStr"/>
      <c r="L194" t="inlineStr">
        <is>
          <t>878f6a6369af3006</t>
        </is>
      </c>
      <c r="M194" t="inlineStr">
        <is>
          <t>20260705-174222-auto-bills</t>
        </is>
      </c>
      <c r="N194" t="inlineStr">
        <is>
          <t>2026-06-20 16:35:31 | 商户消费 | 耐斯超市 | 2502元气森林低糖 | 支出 | 10 | 零钱 | 支付成功 | 4200003153202606208855661730 | 03242606205972934603643 | /</t>
        </is>
      </c>
    </row>
    <row r="195">
      <c r="A195" t="inlineStr">
        <is>
          <t>2026-06-20</t>
        </is>
      </c>
      <c r="B195" t="inlineStr">
        <is>
          <t>微信</t>
        </is>
      </c>
      <c r="C195" t="inlineStr">
        <is>
          <t>成本</t>
        </is>
      </c>
      <c r="D195" t="n">
        <v>11</v>
      </c>
      <c r="E195" t="inlineStr">
        <is>
          <t>购买费用</t>
        </is>
      </c>
      <c r="F195" t="inlineStr">
        <is>
          <t>龙腾广场停车场 / 龙腾广场停车场-停车费-川A6Z73C / 支付成功</t>
        </is>
      </c>
      <c r="G195" t="inlineStr">
        <is>
          <t>账单导入/2026-07-05/extracted/微信/微信支付账单流水文件(20260405-20260705)——【解压密码可在微信支付公众号查看】.xlsx</t>
        </is>
      </c>
      <c r="H195" t="inlineStr">
        <is>
          <t>中</t>
        </is>
      </c>
      <c r="I195" t="inlineStr">
        <is>
          <t>疑似公司交易，请确认用途</t>
        </is>
      </c>
      <c r="J195" t="inlineStr">
        <is>
          <t>待确认</t>
        </is>
      </c>
      <c r="K195" t="inlineStr"/>
      <c r="L195" t="inlineStr">
        <is>
          <t>3fc9b182f9456065</t>
        </is>
      </c>
      <c r="M195" t="inlineStr">
        <is>
          <t>20260705-174222-auto-bills</t>
        </is>
      </c>
      <c r="N195" t="inlineStr">
        <is>
          <t>2026-06-20 19:22:56 | 商户消费 | 龙腾广场停车场 | 龙腾广场停车场-停车费-川A6Z73C | 支出 | 11 | 零钱 | 支付成功 | 4200003193202606206916883715 | 0202606201922474256259 | /</t>
        </is>
      </c>
    </row>
    <row r="196">
      <c r="A196" t="inlineStr">
        <is>
          <t>2026-06-20</t>
        </is>
      </c>
      <c r="B196" t="inlineStr">
        <is>
          <t>微信</t>
        </is>
      </c>
      <c r="C196" t="inlineStr">
        <is>
          <t>支出</t>
        </is>
      </c>
      <c r="D196" t="n">
        <v>86.40000000000001</v>
      </c>
      <c r="E196" t="inlineStr">
        <is>
          <t>待分类</t>
        </is>
      </c>
      <c r="F196" t="inlineStr">
        <is>
          <t>麦当劳 / 麦当劳 / 支付成功</t>
        </is>
      </c>
      <c r="G196" t="inlineStr">
        <is>
          <t>账单导入/2026-07-05/extracted/微信/微信支付账单流水文件(20260405-20260705)——【解压密码可在微信支付公众号查看】.xlsx</t>
        </is>
      </c>
      <c r="H196" t="inlineStr">
        <is>
          <t>中</t>
        </is>
      </c>
      <c r="I196" t="inlineStr">
        <is>
          <t>疑似个人交易，请确认是否排除</t>
        </is>
      </c>
      <c r="J196" t="inlineStr">
        <is>
          <t>待确认</t>
        </is>
      </c>
      <c r="K196" t="inlineStr"/>
      <c r="L196" t="inlineStr">
        <is>
          <t>368c09dd6c883603</t>
        </is>
      </c>
      <c r="M196" t="inlineStr">
        <is>
          <t>20260705-174222-auto-bills</t>
        </is>
      </c>
      <c r="N196" t="inlineStr">
        <is>
          <t>2026-06-20 13:57:20 | 商户消费 | 麦当劳 | 麦当劳 | 支出 | 86.4 | 零钱 | 支付成功 | 4500000194202606206266062255 | 12988442404695617536 | /</t>
        </is>
      </c>
    </row>
    <row r="197">
      <c r="A197" t="inlineStr">
        <is>
          <t>2026-06-20</t>
        </is>
      </c>
      <c r="B197" t="inlineStr">
        <is>
          <t>微信</t>
        </is>
      </c>
      <c r="C197" t="inlineStr">
        <is>
          <t>支出</t>
        </is>
      </c>
      <c r="D197" t="n">
        <v>270</v>
      </c>
      <c r="E197" t="inlineStr">
        <is>
          <t>待分类</t>
        </is>
      </c>
      <c r="F197" t="inlineStr">
        <is>
          <t>爸爸 (吴六松) / 转账备注:微信转账 / 对方已收钱</t>
        </is>
      </c>
      <c r="G197" t="inlineStr">
        <is>
          <t>账单导入/2026-07-05/extracted/微信/微信支付账单流水文件(20260405-20260705)——【解压密码可在微信支付公众号查看】.xlsx</t>
        </is>
      </c>
      <c r="H197" t="inlineStr">
        <is>
          <t>中</t>
        </is>
      </c>
      <c r="I197" t="inlineStr">
        <is>
          <t>个人/公司归属不明确，请确认</t>
        </is>
      </c>
      <c r="J197" t="inlineStr">
        <is>
          <t>待确认</t>
        </is>
      </c>
      <c r="K197" t="inlineStr"/>
      <c r="L197" t="inlineStr">
        <is>
          <t>cc7859876cf36538</t>
        </is>
      </c>
      <c r="M197" t="inlineStr">
        <is>
          <t>20260705-174222-auto-bills</t>
        </is>
      </c>
      <c r="N197" t="inlineStr">
        <is>
          <t>2026-06-20 22:07:27 | 转账 | 爸爸 (吴六松) | 转账备注:微信转账 | 支出 | 270 | 零钱 | 对方已收钱 | 53010003161250202606200542642506 | 1000050001202606200036526495954 | /</t>
        </is>
      </c>
    </row>
    <row r="198">
      <c r="A198" t="inlineStr">
        <is>
          <t>2026-06-20</t>
        </is>
      </c>
      <c r="B198" t="inlineStr">
        <is>
          <t>微信</t>
        </is>
      </c>
      <c r="C198" t="inlineStr">
        <is>
          <t>支出</t>
        </is>
      </c>
      <c r="D198" t="n">
        <v>606.66</v>
      </c>
      <c r="E198" t="inlineStr">
        <is>
          <t>待分类</t>
        </is>
      </c>
      <c r="F198" t="inlineStr">
        <is>
          <t>浪哥 (刘承浪) / 转账备注:微信转账 / 对方已收钱</t>
        </is>
      </c>
      <c r="G198" t="inlineStr">
        <is>
          <t>账单导入/2026-07-05/extracted/微信/微信支付账单流水文件(20260405-20260705)——【解压密码可在微信支付公众号查看】.xlsx</t>
        </is>
      </c>
      <c r="H198" t="inlineStr">
        <is>
          <t>中</t>
        </is>
      </c>
      <c r="I198" t="inlineStr">
        <is>
          <t>个人/公司归属不明确，请确认</t>
        </is>
      </c>
      <c r="J198" t="inlineStr">
        <is>
          <t>待确认</t>
        </is>
      </c>
      <c r="K198" t="inlineStr"/>
      <c r="L198" t="inlineStr">
        <is>
          <t>b67624353fb6b992</t>
        </is>
      </c>
      <c r="M198" t="inlineStr">
        <is>
          <t>20260705-174222-auto-bills</t>
        </is>
      </c>
      <c r="N198" t="inlineStr">
        <is>
          <t>2026-06-20 21:18:44 | 转账 | 浪哥 (刘承浪) | 转账备注:微信转账 | 支出 | 606.66 | 零钱 | 对方已收钱 | 53010003264128202606200290629958 | 1000050001202606200537231752107 | /</t>
        </is>
      </c>
    </row>
    <row r="199">
      <c r="A199" t="inlineStr">
        <is>
          <t>2026-06-21</t>
        </is>
      </c>
      <c r="B199" t="inlineStr">
        <is>
          <t>微信</t>
        </is>
      </c>
      <c r="C199" t="inlineStr">
        <is>
          <t>支出</t>
        </is>
      </c>
      <c r="D199" t="n">
        <v>18</v>
      </c>
      <c r="E199" t="inlineStr">
        <is>
          <t>待分类</t>
        </is>
      </c>
      <c r="F199" t="inlineStr">
        <is>
          <t>成都市双流区思玥享蓉饭店（个体工商户） / 中国银行信用卡 / 支付成功</t>
        </is>
      </c>
      <c r="G199" t="inlineStr">
        <is>
          <t>账单导入/2026-07-05/extracted/微信/微信支付账单流水文件(20260405-20260705)——【解压密码可在微信支付公众号查看】.xlsx</t>
        </is>
      </c>
      <c r="H199" t="inlineStr">
        <is>
          <t>中</t>
        </is>
      </c>
      <c r="I199" t="inlineStr">
        <is>
          <t>个人/公司归属不明确，请确认</t>
        </is>
      </c>
      <c r="J199" t="inlineStr">
        <is>
          <t>待确认</t>
        </is>
      </c>
      <c r="K199" t="inlineStr"/>
      <c r="L199" t="inlineStr">
        <is>
          <t>1e69ea9f9de87af3</t>
        </is>
      </c>
      <c r="M199" t="inlineStr">
        <is>
          <t>20260705-174222-auto-bills</t>
        </is>
      </c>
      <c r="N199" t="inlineStr">
        <is>
          <t>2026-06-21 18:49:17 | 商户消费 | 成都市双流区思玥享蓉饭店（个体工商户） | 中国银行信用卡 | 支出 | 18 | 零钱 | 支付成功 | 4500000222202606213862587024 | WPZ910430952374818921184911 | /</t>
        </is>
      </c>
    </row>
    <row r="200">
      <c r="A200" t="inlineStr">
        <is>
          <t>2026-06-21</t>
        </is>
      </c>
      <c r="B200" t="inlineStr">
        <is>
          <t>微信</t>
        </is>
      </c>
      <c r="C200" t="inlineStr">
        <is>
          <t>支出</t>
        </is>
      </c>
      <c r="D200" t="n">
        <v>68</v>
      </c>
      <c r="E200" t="inlineStr">
        <is>
          <t>待分类</t>
        </is>
      </c>
      <c r="F200" t="inlineStr">
        <is>
          <t>成都市双流区思玥享蓉饭店（个体工商户） / 中国银行信用卡 / 支付成功</t>
        </is>
      </c>
      <c r="G200" t="inlineStr">
        <is>
          <t>账单导入/2026-07-05/extracted/微信/微信支付账单流水文件(20260405-20260705)——【解压密码可在微信支付公众号查看】.xlsx</t>
        </is>
      </c>
      <c r="H200" t="inlineStr">
        <is>
          <t>中</t>
        </is>
      </c>
      <c r="I200" t="inlineStr">
        <is>
          <t>个人/公司归属不明确，请确认</t>
        </is>
      </c>
      <c r="J200" t="inlineStr">
        <is>
          <t>待确认</t>
        </is>
      </c>
      <c r="K200" t="inlineStr"/>
      <c r="L200" t="inlineStr">
        <is>
          <t>c9f5fe7787d77bbe</t>
        </is>
      </c>
      <c r="M200" t="inlineStr">
        <is>
          <t>20260705-174222-auto-bills</t>
        </is>
      </c>
      <c r="N200" t="inlineStr">
        <is>
          <t>2026-06-21 18:48:49 | 商户消费 | 成都市双流区思玥享蓉饭店（个体工商户） | 中国银行信用卡 | 支出 | 68 | 零钱 | 支付成功 | 4500000213202606217732879027 | WPZ910430952374211021184842 | /</t>
        </is>
      </c>
    </row>
    <row r="201">
      <c r="A201" t="inlineStr">
        <is>
          <t>2026-06-21</t>
        </is>
      </c>
      <c r="B201" t="inlineStr">
        <is>
          <t>招商银行</t>
        </is>
      </c>
      <c r="C201" t="inlineStr">
        <is>
          <t>待判断</t>
        </is>
      </c>
      <c r="D201" t="n">
        <v>2.18</v>
      </c>
      <c r="E201" t="inlineStr">
        <is>
          <t>待分类</t>
        </is>
      </c>
      <c r="F201" t="inlineStr">
        <is>
          <t>CNY   账户结息 应付利息-应付个人活期存款利</t>
        </is>
      </c>
      <c r="G201" t="inlineStr">
        <is>
          <t>账单导入/2026-07-05/extracted/招商银行/招商银行交易流水(申请时间2026年07月05日15时41分46秒).pdf</t>
        </is>
      </c>
      <c r="H201" t="inlineStr">
        <is>
          <t>低</t>
        </is>
      </c>
      <c r="I201" t="inlineStr">
        <is>
          <t>个人/公司归属不明确，请确认</t>
        </is>
      </c>
      <c r="J201" t="inlineStr">
        <is>
          <t>待确认</t>
        </is>
      </c>
      <c r="K201" t="inlineStr"/>
      <c r="L201" t="inlineStr">
        <is>
          <t>6b07a6cd58c6b8e0</t>
        </is>
      </c>
      <c r="M201" t="inlineStr">
        <is>
          <t>20260705-174222-auto-bills</t>
        </is>
      </c>
      <c r="N201" t="inlineStr">
        <is>
          <t>2026-06-21 CNY 2.18 6,939.61 账户结息 应付利息-应付个人活期存款利</t>
        </is>
      </c>
    </row>
    <row r="202">
      <c r="A202" t="inlineStr">
        <is>
          <t>2026-06-22</t>
        </is>
      </c>
      <c r="B202" t="inlineStr">
        <is>
          <t>微信</t>
        </is>
      </c>
      <c r="C202" t="inlineStr">
        <is>
          <t>支出</t>
        </is>
      </c>
      <c r="D202" t="n">
        <v>166.5</v>
      </c>
      <c r="E202" t="inlineStr">
        <is>
          <t>待分类</t>
        </is>
      </c>
      <c r="F202" t="inlineStr">
        <is>
          <t>陶德砂锅阳光新业店 / 【堂食】_陶德砂锅阳光新业店_270780_11_无_无 / 支付成功</t>
        </is>
      </c>
      <c r="G202" t="inlineStr">
        <is>
          <t>账单导入/2026-07-05/extracted/微信/微信支付账单流水文件(20260405-20260705)——【解压密码可在微信支付公众号查看】.xlsx</t>
        </is>
      </c>
      <c r="H202" t="inlineStr">
        <is>
          <t>中</t>
        </is>
      </c>
      <c r="I202" t="inlineStr">
        <is>
          <t>个人/公司归属不明确，请确认</t>
        </is>
      </c>
      <c r="J202" t="inlineStr">
        <is>
          <t>待确认</t>
        </is>
      </c>
      <c r="K202" t="inlineStr"/>
      <c r="L202" t="inlineStr">
        <is>
          <t>0abecf7d34dbdb5a</t>
        </is>
      </c>
      <c r="M202" t="inlineStr">
        <is>
          <t>20260705-174222-auto-bills</t>
        </is>
      </c>
      <c r="N202" t="inlineStr">
        <is>
          <t>2026-06-22 18:12:27 | 商户消费 | 陶德砂锅阳光新业店 | 【堂食】_陶德砂锅阳光新业店_270780_11_无_无 | 支出 | 166.5 | 零钱 | 支付成功 | 4200003213202606220063099643 | 260622110906282721 | /</t>
        </is>
      </c>
    </row>
    <row r="203">
      <c r="A203" t="inlineStr">
        <is>
          <t>2026-06-23</t>
        </is>
      </c>
      <c r="B203" t="inlineStr">
        <is>
          <t>微信</t>
        </is>
      </c>
      <c r="C203" t="inlineStr">
        <is>
          <t>支出</t>
        </is>
      </c>
      <c r="D203" t="n">
        <v>4</v>
      </c>
      <c r="E203" t="inlineStr">
        <is>
          <t>待分类</t>
        </is>
      </c>
      <c r="F203" t="inlineStr">
        <is>
          <t>龙泉政务中心停车场 / 龙泉政务中心停车场-川A6Z73C / 支付成功</t>
        </is>
      </c>
      <c r="G203" t="inlineStr">
        <is>
          <t>账单导入/2026-07-05/extracted/微信/微信支付账单流水文件(20260405-20260705)——【解压密码可在微信支付公众号查看】.xlsx</t>
        </is>
      </c>
      <c r="H203" t="inlineStr">
        <is>
          <t>中</t>
        </is>
      </c>
      <c r="I203" t="inlineStr">
        <is>
          <t>个人/公司归属不明确，请确认</t>
        </is>
      </c>
      <c r="J203" t="inlineStr">
        <is>
          <t>待确认</t>
        </is>
      </c>
      <c r="K203" t="inlineStr"/>
      <c r="L203" t="inlineStr">
        <is>
          <t>c80057ed3f2511d2</t>
        </is>
      </c>
      <c r="M203" t="inlineStr">
        <is>
          <t>20260705-174222-auto-bills</t>
        </is>
      </c>
      <c r="N203" t="inlineStr">
        <is>
          <t>2026-06-23 12:24:22 | 商户消费 | 龙泉政务中心停车场 | 龙泉政务中心停车场-川A6Z73C | 支出 | 4 | 零钱 | 支付成功 | 4200003119202606236541802594 | 032326062344656759158081 | /</t>
        </is>
      </c>
    </row>
    <row r="204">
      <c r="A204" t="inlineStr">
        <is>
          <t>2026-06-23</t>
        </is>
      </c>
      <c r="B204" t="inlineStr">
        <is>
          <t>微信</t>
        </is>
      </c>
      <c r="C204" t="inlineStr">
        <is>
          <t>支出</t>
        </is>
      </c>
      <c r="D204" t="n">
        <v>5</v>
      </c>
      <c r="E204" t="inlineStr">
        <is>
          <t>待分类</t>
        </is>
      </c>
      <c r="F204" t="inlineStr">
        <is>
          <t>凯德广场魅力城 / 凯德广场魅力城-川A6Z73C停车费 / 支付成功</t>
        </is>
      </c>
      <c r="G204" t="inlineStr">
        <is>
          <t>账单导入/2026-07-05/extracted/微信/微信支付账单流水文件(20260405-20260705)——【解压密码可在微信支付公众号查看】.xlsx</t>
        </is>
      </c>
      <c r="H204" t="inlineStr">
        <is>
          <t>中</t>
        </is>
      </c>
      <c r="I204" t="inlineStr">
        <is>
          <t>个人/公司归属不明确，请确认</t>
        </is>
      </c>
      <c r="J204" t="inlineStr">
        <is>
          <t>待确认</t>
        </is>
      </c>
      <c r="K204" t="inlineStr"/>
      <c r="L204" t="inlineStr">
        <is>
          <t>295256e355edaf01</t>
        </is>
      </c>
      <c r="M204" t="inlineStr">
        <is>
          <t>20260705-174222-auto-bills</t>
        </is>
      </c>
      <c r="N204" t="inlineStr">
        <is>
          <t>2026-06-23 17:42:54 | 商户消费 | 凯德广场魅力城 | 凯德广场魅力城-川A6Z73C停车费 | 支出 | 5 | 零钱 | 支付成功 | 4200003214202606234533207071 | 1301009ZNpa4BewY1782207768887570 | /</t>
        </is>
      </c>
    </row>
    <row r="205">
      <c r="A205" t="inlineStr">
        <is>
          <t>2026-06-23</t>
        </is>
      </c>
      <c r="B205" t="inlineStr">
        <is>
          <t>微信</t>
        </is>
      </c>
      <c r="C205" t="inlineStr">
        <is>
          <t>支出</t>
        </is>
      </c>
      <c r="D205" t="n">
        <v>9</v>
      </c>
      <c r="E205" t="inlineStr">
        <is>
          <t>待分类</t>
        </is>
      </c>
      <c r="F205" t="inlineStr">
        <is>
          <t>P云停车平台 / 【川A6Z73C】在【罗兰小镇商业停车场】支付停车费9.00元 / 支付成功</t>
        </is>
      </c>
      <c r="G205" t="inlineStr">
        <is>
          <t>账单导入/2026-07-05/extracted/微信/微信支付账单流水文件(20260405-20260705)——【解压密码可在微信支付公众号查看】.xlsx</t>
        </is>
      </c>
      <c r="H205" t="inlineStr">
        <is>
          <t>中</t>
        </is>
      </c>
      <c r="I205" t="inlineStr">
        <is>
          <t>个人/公司归属不明确，请确认</t>
        </is>
      </c>
      <c r="J205" t="inlineStr">
        <is>
          <t>待确认</t>
        </is>
      </c>
      <c r="K205" t="inlineStr"/>
      <c r="L205" t="inlineStr">
        <is>
          <t>65f70ea2dc3d918d</t>
        </is>
      </c>
      <c r="M205" t="inlineStr">
        <is>
          <t>20260705-174222-auto-bills</t>
        </is>
      </c>
      <c r="N205" t="inlineStr">
        <is>
          <t>2026-06-23 01:14:57 | 商户消费 | P云停车平台 | 【川A6Z73C】在【罗兰小镇商业停车场】支付停车费9.00元 | 支出 | 9 | 零钱 | 支付成功 | 4200003146202606230161881207 | 20260623011447075561210017 | /</t>
        </is>
      </c>
    </row>
    <row r="206">
      <c r="A206" t="inlineStr">
        <is>
          <t>2026-06-23</t>
        </is>
      </c>
      <c r="B206" t="inlineStr">
        <is>
          <t>微信</t>
        </is>
      </c>
      <c r="C206" t="inlineStr">
        <is>
          <t>成本</t>
        </is>
      </c>
      <c r="D206" t="n">
        <v>18</v>
      </c>
      <c r="E206" t="inlineStr">
        <is>
          <t>购买费用</t>
        </is>
      </c>
      <c r="F206" t="inlineStr">
        <is>
          <t>柠季 / 美团收银909700213997876042 / 支付成功</t>
        </is>
      </c>
      <c r="G206" t="inlineStr">
        <is>
          <t>账单导入/2026-07-05/extracted/微信/微信支付账单流水文件(20260405-20260705)——【解压密码可在微信支付公众号查看】.xlsx</t>
        </is>
      </c>
      <c r="H206" t="inlineStr">
        <is>
          <t>中</t>
        </is>
      </c>
      <c r="I206" t="inlineStr">
        <is>
          <t>疑似公司交易，请确认用途</t>
        </is>
      </c>
      <c r="J206" t="inlineStr">
        <is>
          <t>待确认</t>
        </is>
      </c>
      <c r="K206" t="inlineStr"/>
      <c r="L206" t="inlineStr">
        <is>
          <t>aae4ef9f4edcf5ee</t>
        </is>
      </c>
      <c r="M206" t="inlineStr">
        <is>
          <t>20260705-174222-auto-bills</t>
        </is>
      </c>
      <c r="N206" t="inlineStr">
        <is>
          <t>2026-06-23 16:54:34 | 商户消费 | 柠季 | 美团收银909700213997876042 | 支出 | 18 | 零钱 | 支付成功 | 4200003111202606237908027347 | 0461368606659308692400148 | /</t>
        </is>
      </c>
    </row>
    <row r="207">
      <c r="A207" t="inlineStr">
        <is>
          <t>2026-06-23</t>
        </is>
      </c>
      <c r="B207" t="inlineStr">
        <is>
          <t>微信</t>
        </is>
      </c>
      <c r="C207" t="inlineStr">
        <is>
          <t>成本</t>
        </is>
      </c>
      <c r="D207" t="n">
        <v>27</v>
      </c>
      <c r="E207" t="inlineStr">
        <is>
          <t>购买费用</t>
        </is>
      </c>
      <c r="F207" t="inlineStr">
        <is>
          <t>拼多多平台商户 / 先用后付 / 支付成功</t>
        </is>
      </c>
      <c r="G207" t="inlineStr">
        <is>
          <t>账单导入/2026-07-05/extracted/微信/微信支付账单流水文件(20260405-20260705)——【解压密码可在微信支付公众号查看】.xlsx</t>
        </is>
      </c>
      <c r="H207" t="inlineStr">
        <is>
          <t>中</t>
        </is>
      </c>
      <c r="I207" t="inlineStr">
        <is>
          <t>疑似公司交易，请确认用途</t>
        </is>
      </c>
      <c r="J207" t="inlineStr">
        <is>
          <t>待确认</t>
        </is>
      </c>
      <c r="K207" t="inlineStr"/>
      <c r="L207" t="inlineStr">
        <is>
          <t>c560ef5d5a888045</t>
        </is>
      </c>
      <c r="M207" t="inlineStr">
        <is>
          <t>20260705-174222-auto-bills</t>
        </is>
      </c>
      <c r="N207" t="inlineStr">
        <is>
          <t>2026-06-23 10:00:02 | 商户消费 | 拼多多平台商户 | 先用后付 | 支出 | 27 | 招商银行信用卡(1439) | 支付成功 | 4200003218202606237125207480 | lZCCPgm-miu9P1-wtlusOxxxxxqHOlvx | /</t>
        </is>
      </c>
    </row>
    <row r="208">
      <c r="A208" t="inlineStr">
        <is>
          <t>2026-06-23</t>
        </is>
      </c>
      <c r="B208" t="inlineStr">
        <is>
          <t>微信</t>
        </is>
      </c>
      <c r="C208" t="inlineStr">
        <is>
          <t>支出</t>
        </is>
      </c>
      <c r="D208" t="n">
        <v>87</v>
      </c>
      <c r="E208" t="inlineStr">
        <is>
          <t>待分类</t>
        </is>
      </c>
      <c r="F208" t="inlineStr">
        <is>
          <t>麦当劳 / 麦当劳 / 支付成功</t>
        </is>
      </c>
      <c r="G208" t="inlineStr">
        <is>
          <t>账单导入/2026-07-05/extracted/微信/微信支付账单流水文件(20260405-20260705)——【解压密码可在微信支付公众号查看】.xlsx</t>
        </is>
      </c>
      <c r="H208" t="inlineStr">
        <is>
          <t>中</t>
        </is>
      </c>
      <c r="I208" t="inlineStr">
        <is>
          <t>疑似个人交易，请确认是否排除</t>
        </is>
      </c>
      <c r="J208" t="inlineStr">
        <is>
          <t>待确认</t>
        </is>
      </c>
      <c r="K208" t="inlineStr"/>
      <c r="L208" t="inlineStr">
        <is>
          <t>5275f164ee9e7cd9</t>
        </is>
      </c>
      <c r="M208" t="inlineStr">
        <is>
          <t>20260705-174222-auto-bills</t>
        </is>
      </c>
      <c r="N208" t="inlineStr">
        <is>
          <t>2026-06-23 12:51:48 | 商户消费 | 麦当劳 | 麦当劳 | 支出 | 87 | 零钱 | 支付成功 | 4500000226202606234335070568 | 12989513081099902976 | /</t>
        </is>
      </c>
    </row>
    <row r="209">
      <c r="A209" t="inlineStr">
        <is>
          <t>2026-06-24</t>
        </is>
      </c>
      <c r="B209" t="inlineStr">
        <is>
          <t>微信</t>
        </is>
      </c>
      <c r="C209" t="inlineStr">
        <is>
          <t>支出</t>
        </is>
      </c>
      <c r="D209" t="n">
        <v>11</v>
      </c>
      <c r="E209" t="inlineStr">
        <is>
          <t>待分类</t>
        </is>
      </c>
      <c r="F209" t="inlineStr">
        <is>
          <t>长红饼业 / 长红饼业 / 支付成功</t>
        </is>
      </c>
      <c r="G209" t="inlineStr">
        <is>
          <t>账单导入/2026-07-05/extracted/微信/微信支付账单流水文件(20260405-20260705)——【解压密码可在微信支付公众号查看】.xlsx</t>
        </is>
      </c>
      <c r="H209" t="inlineStr">
        <is>
          <t>中</t>
        </is>
      </c>
      <c r="I209" t="inlineStr">
        <is>
          <t>个人/公司归属不明确，请确认</t>
        </is>
      </c>
      <c r="J209" t="inlineStr">
        <is>
          <t>待确认</t>
        </is>
      </c>
      <c r="K209" t="inlineStr"/>
      <c r="L209" t="inlineStr">
        <is>
          <t>1c000949b15e8368</t>
        </is>
      </c>
      <c r="M209" t="inlineStr">
        <is>
          <t>20260705-174222-auto-bills</t>
        </is>
      </c>
      <c r="N209" t="inlineStr">
        <is>
          <t>2026-06-24 08:28:18 | 商户消费 | 长红饼业 | 长红饼业 | 支出 | 11 | 零钱 | 支付成功 | 4500000184202606249894578478 | 440254415208000032606240988587 | /</t>
        </is>
      </c>
    </row>
    <row r="210">
      <c r="A210" t="inlineStr">
        <is>
          <t>2026-06-24</t>
        </is>
      </c>
      <c r="B210" t="inlineStr">
        <is>
          <t>微信</t>
        </is>
      </c>
      <c r="C210" t="inlineStr">
        <is>
          <t>支出</t>
        </is>
      </c>
      <c r="D210" t="n">
        <v>700</v>
      </c>
      <c r="E210" t="inlineStr">
        <is>
          <t>待分类</t>
        </is>
      </c>
      <c r="F210" t="inlineStr">
        <is>
          <t>汇泊 成都 / 东恒国际川A6Z73C月租续费 / 支付成功</t>
        </is>
      </c>
      <c r="G210" t="inlineStr">
        <is>
          <t>账单导入/2026-07-05/extracted/微信/微信支付账单流水文件(20260405-20260705)——【解压密码可在微信支付公众号查看】.xlsx</t>
        </is>
      </c>
      <c r="H210" t="inlineStr">
        <is>
          <t>中</t>
        </is>
      </c>
      <c r="I210" t="inlineStr">
        <is>
          <t>个人/公司归属不明确，请确认</t>
        </is>
      </c>
      <c r="J210" t="inlineStr">
        <is>
          <t>待确认</t>
        </is>
      </c>
      <c r="K210" t="inlineStr"/>
      <c r="L210" t="inlineStr">
        <is>
          <t>18772aebf96e2c37</t>
        </is>
      </c>
      <c r="M210" t="inlineStr">
        <is>
          <t>20260705-174222-auto-bills</t>
        </is>
      </c>
      <c r="N210" t="inlineStr">
        <is>
          <t>2026-06-24 08:28:36 | 商户消费 | 汇泊 成都 | 东恒国际川A6Z73C月租续费 | 支出 | 700 | 零钱 | 支付成功 | 4200003098202606242922062345 | DH1782260810321vpsa7uy7cnbrq28q1 | /</t>
        </is>
      </c>
    </row>
    <row r="211">
      <c r="A211" t="inlineStr">
        <is>
          <t>2026-06-24</t>
        </is>
      </c>
      <c r="B211" t="inlineStr">
        <is>
          <t>微信</t>
        </is>
      </c>
      <c r="C211" t="inlineStr">
        <is>
          <t>收入</t>
        </is>
      </c>
      <c r="D211" t="n">
        <v>11000</v>
      </c>
      <c r="E211" t="inlineStr">
        <is>
          <t>待分类</t>
        </is>
      </c>
      <c r="F211" t="inlineStr">
        <is>
          <t>ethereal (ethereal) / 转账备注:微信转账 / 已存入零钱</t>
        </is>
      </c>
      <c r="G211" t="inlineStr">
        <is>
          <t>账单导入/2026-07-05/extracted/微信/微信支付账单流水文件(20260405-20260705)——【解压密码可在微信支付公众号查看】.xlsx</t>
        </is>
      </c>
      <c r="H211" t="inlineStr">
        <is>
          <t>中</t>
        </is>
      </c>
      <c r="I211" t="inlineStr">
        <is>
          <t>个人/公司归属不明确，请确认</t>
        </is>
      </c>
      <c r="J211" t="inlineStr">
        <is>
          <t>待确认</t>
        </is>
      </c>
      <c r="K211" t="inlineStr"/>
      <c r="L211" t="inlineStr">
        <is>
          <t>118b2b7bd8f17a5e</t>
        </is>
      </c>
      <c r="M211" t="inlineStr">
        <is>
          <t>20260705-174222-auto-bills</t>
        </is>
      </c>
      <c r="N211" t="inlineStr">
        <is>
          <t>2026-06-24 20:34:08 | 转账 | ethereal (ethereal) | 转账备注:微信转账 | 收入 | 11000 | / | 已存入零钱 | 1000050001202606240036777862144 | / | /</t>
        </is>
      </c>
    </row>
    <row r="212">
      <c r="A212" t="inlineStr">
        <is>
          <t>2026-06-25</t>
        </is>
      </c>
      <c r="B212" t="inlineStr">
        <is>
          <t>微信</t>
        </is>
      </c>
      <c r="C212" t="inlineStr">
        <is>
          <t>收入</t>
        </is>
      </c>
      <c r="D212" t="n">
        <v>624</v>
      </c>
      <c r="E212" t="inlineStr">
        <is>
          <t>待分类</t>
        </is>
      </c>
      <c r="F212" t="inlineStr">
        <is>
          <t>人工智网科技培训学校 (人工智网科技培训学校) / 转账备注:微信转账 / 已存入零钱</t>
        </is>
      </c>
      <c r="G212" t="inlineStr">
        <is>
          <t>账单导入/2026-07-05/extracted/微信/微信支付账单流水文件(20260405-20260705)——【解压密码可在微信支付公众号查看】.xlsx</t>
        </is>
      </c>
      <c r="H212" t="inlineStr">
        <is>
          <t>中</t>
        </is>
      </c>
      <c r="I212" t="inlineStr">
        <is>
          <t>个人/公司归属不明确，请确认</t>
        </is>
      </c>
      <c r="J212" t="inlineStr">
        <is>
          <t>待确认</t>
        </is>
      </c>
      <c r="K212" t="inlineStr"/>
      <c r="L212" t="inlineStr">
        <is>
          <t>0823f8717bbd5c20</t>
        </is>
      </c>
      <c r="M212" t="inlineStr">
        <is>
          <t>20260705-174222-auto-bills</t>
        </is>
      </c>
      <c r="N212" t="inlineStr">
        <is>
          <t>2026-06-25 15:30:52 | 转账 | 人工智网科技培训学校 (人工智网科技培训学校) | 转账备注:微信转账 | 收入 | 624 | / | 已存入零钱 | 1000050001202606250629414464430 | / | /</t>
        </is>
      </c>
    </row>
    <row r="213">
      <c r="A213" t="inlineStr">
        <is>
          <t>2026-06-25</t>
        </is>
      </c>
      <c r="B213" t="inlineStr">
        <is>
          <t>招商银行</t>
        </is>
      </c>
      <c r="C213" t="inlineStr">
        <is>
          <t>支出</t>
        </is>
      </c>
      <c r="D213" t="n">
        <v>1437.31</v>
      </c>
      <c r="E213" t="inlineStr">
        <is>
          <t>待分类</t>
        </is>
      </c>
      <c r="F213" t="inlineStr">
        <is>
          <t>CNY -  信用卡预约还款 吴文凯</t>
        </is>
      </c>
      <c r="G213" t="inlineStr">
        <is>
          <t>账单导入/2026-07-05/extracted/招商银行/招商银行交易流水(申请时间2026年07月05日15时41分46秒).pdf</t>
        </is>
      </c>
      <c r="H213" t="inlineStr">
        <is>
          <t>中</t>
        </is>
      </c>
      <c r="I213" t="inlineStr">
        <is>
          <t>个人/公司归属不明确，请确认</t>
        </is>
      </c>
      <c r="J213" t="inlineStr">
        <is>
          <t>待确认</t>
        </is>
      </c>
      <c r="K213" t="inlineStr"/>
      <c r="L213" t="inlineStr">
        <is>
          <t>048416d4446fff76</t>
        </is>
      </c>
      <c r="M213" t="inlineStr">
        <is>
          <t>20260705-174222-auto-bills</t>
        </is>
      </c>
      <c r="N213" t="inlineStr">
        <is>
          <t>2026-06-25 CNY -1,437.31 5,502.30 信用卡预约还款 吴文凯</t>
        </is>
      </c>
    </row>
    <row r="214">
      <c r="A214" t="inlineStr">
        <is>
          <t>2026-06-26</t>
        </is>
      </c>
      <c r="B214" t="inlineStr">
        <is>
          <t>微信</t>
        </is>
      </c>
      <c r="C214" t="inlineStr">
        <is>
          <t>支出</t>
        </is>
      </c>
      <c r="D214" t="n">
        <v>8</v>
      </c>
      <c r="E214" t="inlineStr">
        <is>
          <t>待分类</t>
        </is>
      </c>
      <c r="F214" t="inlineStr">
        <is>
          <t>成都双流万达广场商业管理有限公司 / 双xxxx场-川A6Z73C-ETCP小程序 / 支付成功</t>
        </is>
      </c>
      <c r="G214" t="inlineStr">
        <is>
          <t>账单导入/2026-07-05/extracted/微信/微信支付账单流水文件(20260405-20260705)——【解压密码可在微信支付公众号查看】.xlsx</t>
        </is>
      </c>
      <c r="H214" t="inlineStr">
        <is>
          <t>中</t>
        </is>
      </c>
      <c r="I214" t="inlineStr">
        <is>
          <t>个人/公司归属不明确，请确认</t>
        </is>
      </c>
      <c r="J214" t="inlineStr">
        <is>
          <t>待确认</t>
        </is>
      </c>
      <c r="K214" t="inlineStr"/>
      <c r="L214" t="inlineStr">
        <is>
          <t>08e54dce899560da</t>
        </is>
      </c>
      <c r="M214" t="inlineStr">
        <is>
          <t>20260705-174222-auto-bills</t>
        </is>
      </c>
      <c r="N214" t="inlineStr">
        <is>
          <t>2026-06-26 15:46:57 | 商户消费 | 成都双流万达广场商业管理有限公司 | 双xxxx场-川A6Z73C-ETCP小程序 | 支出 | 8 | 零钱 | 支付成功 | 4200003212202606265175612685 | P2026062615465131515855989070367 | /</t>
        </is>
      </c>
    </row>
    <row r="215">
      <c r="A215" t="inlineStr">
        <is>
          <t>2026-06-26</t>
        </is>
      </c>
      <c r="B215" t="inlineStr">
        <is>
          <t>微信</t>
        </is>
      </c>
      <c r="C215" t="inlineStr">
        <is>
          <t>支出</t>
        </is>
      </c>
      <c r="D215" t="n">
        <v>9.9</v>
      </c>
      <c r="E215" t="inlineStr">
        <is>
          <t>待分类</t>
        </is>
      </c>
      <c r="F215" t="inlineStr">
        <is>
          <t>luckin coffee / 订单付款 / 支付成功</t>
        </is>
      </c>
      <c r="G215" t="inlineStr">
        <is>
          <t>账单导入/2026-07-05/extracted/微信/微信支付账单流水文件(20260405-20260705)——【解压密码可在微信支付公众号查看】.xlsx</t>
        </is>
      </c>
      <c r="H215" t="inlineStr">
        <is>
          <t>中</t>
        </is>
      </c>
      <c r="I215" t="inlineStr">
        <is>
          <t>个人/公司归属不明确，请确认</t>
        </is>
      </c>
      <c r="J215" t="inlineStr">
        <is>
          <t>待确认</t>
        </is>
      </c>
      <c r="K215" t="inlineStr"/>
      <c r="L215" t="inlineStr">
        <is>
          <t>716084a3aaf0d94e</t>
        </is>
      </c>
      <c r="M215" t="inlineStr">
        <is>
          <t>20260705-174222-auto-bills</t>
        </is>
      </c>
      <c r="N215" t="inlineStr">
        <is>
          <t>2026-06-26 15:21:19 | 商户消费 | luckin coffee | 订单付款 | 支出 | 9.9 | 零钱 | 支付成功 | 4500000157202606265911690081 | 10119618763392806922 | /</t>
        </is>
      </c>
    </row>
    <row r="216">
      <c r="A216" t="inlineStr">
        <is>
          <t>2026-06-26</t>
        </is>
      </c>
      <c r="B216" t="inlineStr">
        <is>
          <t>微信</t>
        </is>
      </c>
      <c r="C216" t="inlineStr">
        <is>
          <t>收入</t>
        </is>
      </c>
      <c r="D216" t="n">
        <v>20</v>
      </c>
      <c r="E216" t="inlineStr">
        <is>
          <t>待分类</t>
        </is>
      </c>
      <c r="F216" t="inlineStr">
        <is>
          <t>叮叮当 (叮叮当) / 收款方备注:二维码收款 / 已收钱</t>
        </is>
      </c>
      <c r="G216" t="inlineStr">
        <is>
          <t>账单导入/2026-07-05/extracted/微信/微信支付账单流水文件(20260405-20260705)——【解压密码可在微信支付公众号查看】.xlsx</t>
        </is>
      </c>
      <c r="H216" t="inlineStr">
        <is>
          <t>中</t>
        </is>
      </c>
      <c r="I216" t="inlineStr">
        <is>
          <t>个人/公司归属不明确，请确认</t>
        </is>
      </c>
      <c r="J216" t="inlineStr">
        <is>
          <t>待确认</t>
        </is>
      </c>
      <c r="K216" t="inlineStr"/>
      <c r="L216" t="inlineStr">
        <is>
          <t>3fe6b25273895a6b</t>
        </is>
      </c>
      <c r="M216" t="inlineStr">
        <is>
          <t>20260705-174222-auto-bills</t>
        </is>
      </c>
      <c r="N216" t="inlineStr">
        <is>
          <t>2026-06-26 18:51:15 | 二维码收款 | 叮叮当 (叮叮当) | 收款方备注:二维码收款 | 收入 | 20 | 零钱 | 已收钱 | 10001073012026062601494508468584 | / | /</t>
        </is>
      </c>
    </row>
    <row r="217">
      <c r="A217" t="inlineStr">
        <is>
          <t>2026-06-26</t>
        </is>
      </c>
      <c r="B217" t="inlineStr">
        <is>
          <t>微信</t>
        </is>
      </c>
      <c r="C217" t="inlineStr">
        <is>
          <t>支出</t>
        </is>
      </c>
      <c r="D217" t="n">
        <v>28</v>
      </c>
      <c r="E217" t="inlineStr">
        <is>
          <t>待分类</t>
        </is>
      </c>
      <c r="F217" t="inlineStr">
        <is>
          <t>成都市双流区思玥享蓉饭店（个体工商户） / 中国银行信用卡 / 支付成功</t>
        </is>
      </c>
      <c r="G217" t="inlineStr">
        <is>
          <t>账单导入/2026-07-05/extracted/微信/微信支付账单流水文件(20260405-20260705)——【解压密码可在微信支付公众号查看】.xlsx</t>
        </is>
      </c>
      <c r="H217" t="inlineStr">
        <is>
          <t>中</t>
        </is>
      </c>
      <c r="I217" t="inlineStr">
        <is>
          <t>个人/公司归属不明确，请确认</t>
        </is>
      </c>
      <c r="J217" t="inlineStr">
        <is>
          <t>待确认</t>
        </is>
      </c>
      <c r="K217" t="inlineStr"/>
      <c r="L217" t="inlineStr">
        <is>
          <t>765073fc329da0e2</t>
        </is>
      </c>
      <c r="M217" t="inlineStr">
        <is>
          <t>20260705-174222-auto-bills</t>
        </is>
      </c>
      <c r="N217" t="inlineStr">
        <is>
          <t>2026-06-26 18:44:58 | 商户消费 | 成都市双流区思玥享蓉饭店（个体工商户） | 中国银行信用卡 | 支出 | 28 | 零钱 | 支付成功 | 4500000190202606264683416014 | WPZ910430955814596026184450 | /</t>
        </is>
      </c>
    </row>
    <row r="218">
      <c r="A218" t="inlineStr">
        <is>
          <t>2026-06-26</t>
        </is>
      </c>
      <c r="B218" t="inlineStr">
        <is>
          <t>微信</t>
        </is>
      </c>
      <c r="C218" t="inlineStr">
        <is>
          <t>支出</t>
        </is>
      </c>
      <c r="D218" t="n">
        <v>40</v>
      </c>
      <c r="E218" t="inlineStr">
        <is>
          <t>待分类</t>
        </is>
      </c>
      <c r="F218" t="inlineStr">
        <is>
          <t>成都市双流区思玥享蓉饭店（个体工商户） / 中国银行信用卡 / 支付成功</t>
        </is>
      </c>
      <c r="G218" t="inlineStr">
        <is>
          <t>账单导入/2026-07-05/extracted/微信/微信支付账单流水文件(20260405-20260705)——【解压密码可在微信支付公众号查看】.xlsx</t>
        </is>
      </c>
      <c r="H218" t="inlineStr">
        <is>
          <t>中</t>
        </is>
      </c>
      <c r="I218" t="inlineStr">
        <is>
          <t>个人/公司归属不明确，请确认</t>
        </is>
      </c>
      <c r="J218" t="inlineStr">
        <is>
          <t>待确认</t>
        </is>
      </c>
      <c r="K218" t="inlineStr"/>
      <c r="L218" t="inlineStr">
        <is>
          <t>03f7a8b7687c342c</t>
        </is>
      </c>
      <c r="M218" t="inlineStr">
        <is>
          <t>20260705-174222-auto-bills</t>
        </is>
      </c>
      <c r="N218" t="inlineStr">
        <is>
          <t>2026-06-26 12:48:51 | 商户消费 | 成都市双流区思玥享蓉饭店（个体工商户） | 中国银行信用卡 | 支出 | 40 | 零钱 | 支付成功 | 4500000231202606267603475944 | WPZ910430955541381826124845 | /</t>
        </is>
      </c>
    </row>
    <row r="219">
      <c r="A219" t="inlineStr">
        <is>
          <t>2026-06-26</t>
        </is>
      </c>
      <c r="B219" t="inlineStr">
        <is>
          <t>微信</t>
        </is>
      </c>
      <c r="C219" t="inlineStr">
        <is>
          <t>收入</t>
        </is>
      </c>
      <c r="D219" t="n">
        <v>51</v>
      </c>
      <c r="E219" t="inlineStr">
        <is>
          <t>待分类</t>
        </is>
      </c>
      <c r="F219" t="inlineStr">
        <is>
          <t>李艳婷 / 收款方备注:二维码收款 / 已转账</t>
        </is>
      </c>
      <c r="G219" t="inlineStr">
        <is>
          <t>账单导入/2026-07-05/extracted/微信/微信支付账单流水文件(20260405-20260705)——【解压密码可在微信支付公众号查看】.xlsx</t>
        </is>
      </c>
      <c r="H219" t="inlineStr">
        <is>
          <t>中</t>
        </is>
      </c>
      <c r="I219" t="inlineStr">
        <is>
          <t>个人/公司归属不明确，请确认</t>
        </is>
      </c>
      <c r="J219" t="inlineStr">
        <is>
          <t>待确认</t>
        </is>
      </c>
      <c r="K219" t="inlineStr"/>
      <c r="L219" t="inlineStr">
        <is>
          <t>23c75f2ecd906182</t>
        </is>
      </c>
      <c r="M219" t="inlineStr">
        <is>
          <t>20260705-174222-auto-bills</t>
        </is>
      </c>
      <c r="N219" t="inlineStr">
        <is>
          <t>2026-06-26 12:53:30 | 扫二维码付款 | 李艳婷 | 收款方备注:二维码收款 | 支出 | 51 | 零钱 | 已转账 | 53110001888090202606260611440682 | 10001073012026062601370574167540 | /</t>
        </is>
      </c>
    </row>
    <row r="220">
      <c r="A220" t="inlineStr">
        <is>
          <t>2026-06-26</t>
        </is>
      </c>
      <c r="B220" t="inlineStr">
        <is>
          <t>微信</t>
        </is>
      </c>
      <c r="C220" t="inlineStr">
        <is>
          <t>收入</t>
        </is>
      </c>
      <c r="D220" t="n">
        <v>85</v>
      </c>
      <c r="E220" t="inlineStr">
        <is>
          <t>待分类</t>
        </is>
      </c>
      <c r="F220" t="inlineStr">
        <is>
          <t>浪哥 (刘承浪) / 转账备注:购买打印粉 / 已存入零钱</t>
        </is>
      </c>
      <c r="G220" t="inlineStr">
        <is>
          <t>账单导入/2026-07-05/extracted/微信/微信支付账单流水文件(20260405-20260705)——【解压密码可在微信支付公众号查看】.xlsx</t>
        </is>
      </c>
      <c r="H220" t="inlineStr">
        <is>
          <t>中</t>
        </is>
      </c>
      <c r="I220" t="inlineStr">
        <is>
          <t>疑似公司交易，请确认用途</t>
        </is>
      </c>
      <c r="J220" t="inlineStr">
        <is>
          <t>待确认</t>
        </is>
      </c>
      <c r="K220" t="inlineStr"/>
      <c r="L220" t="inlineStr">
        <is>
          <t>afe351755eb34f1c</t>
        </is>
      </c>
      <c r="M220" t="inlineStr">
        <is>
          <t>20260705-174222-auto-bills</t>
        </is>
      </c>
      <c r="N220" t="inlineStr">
        <is>
          <t>2026-06-26 14:09:24 | 转账 | 浪哥 (刘承浪) | 转账备注:购买打印粉 | 收入 | 85 | / | 已存入零钱 | 1000050001202606260734763450248 | / | /</t>
        </is>
      </c>
    </row>
    <row r="221">
      <c r="A221" t="inlineStr">
        <is>
          <t>2026-06-27</t>
        </is>
      </c>
      <c r="B221" t="inlineStr">
        <is>
          <t>微信</t>
        </is>
      </c>
      <c r="C221" t="inlineStr">
        <is>
          <t>收入</t>
        </is>
      </c>
      <c r="D221" t="n">
        <v>200</v>
      </c>
      <c r="E221" t="inlineStr">
        <is>
          <t>待分类</t>
        </is>
      </c>
      <c r="F221" t="inlineStr">
        <is>
          <t>乐高编程高老师 (乐高编程高老师) / 收款方备注:5、6月平板租金 / 已收钱</t>
        </is>
      </c>
      <c r="G221" t="inlineStr">
        <is>
          <t>账单导入/2026-07-05/extracted/微信/微信支付账单流水文件(20260405-20260705)——【解压密码可在微信支付公众号查看】.xlsx</t>
        </is>
      </c>
      <c r="H221" t="inlineStr">
        <is>
          <t>中</t>
        </is>
      </c>
      <c r="I221" t="inlineStr">
        <is>
          <t>个人/公司归属不明确，请确认</t>
        </is>
      </c>
      <c r="J221" t="inlineStr">
        <is>
          <t>待确认</t>
        </is>
      </c>
      <c r="K221" t="inlineStr"/>
      <c r="L221" t="inlineStr">
        <is>
          <t>f23b3d85fd1d5157</t>
        </is>
      </c>
      <c r="M221" t="inlineStr">
        <is>
          <t>20260705-174222-auto-bills</t>
        </is>
      </c>
      <c r="N221" t="inlineStr">
        <is>
          <t>2026-06-27 15:27:35 | 二维码收款 | 乐高编程高老师 (乐高编程高老师) | 收款方备注:5、6月平板租金 | 收入 | 200 | 零钱 | 已收钱 | 10001073012026062701608450742547 | / | /</t>
        </is>
      </c>
    </row>
    <row r="222">
      <c r="A222" t="inlineStr">
        <is>
          <t>2026-06-28</t>
        </is>
      </c>
      <c r="B222" t="inlineStr">
        <is>
          <t>微信</t>
        </is>
      </c>
      <c r="C222" t="inlineStr">
        <is>
          <t>支出</t>
        </is>
      </c>
      <c r="D222" t="n">
        <v>18</v>
      </c>
      <c r="E222" t="inlineStr">
        <is>
          <t>待分类</t>
        </is>
      </c>
      <c r="F222" t="inlineStr">
        <is>
          <t>成都市浪漫煮义 / 蒲敏-微信 / 支付成功</t>
        </is>
      </c>
      <c r="G222" t="inlineStr">
        <is>
          <t>账单导入/2026-07-05/extracted/微信/微信支付账单流水文件(20260405-20260705)——【解压密码可在微信支付公众号查看】.xlsx</t>
        </is>
      </c>
      <c r="H222" t="inlineStr">
        <is>
          <t>中</t>
        </is>
      </c>
      <c r="I222" t="inlineStr">
        <is>
          <t>个人/公司归属不明确，请确认</t>
        </is>
      </c>
      <c r="J222" t="inlineStr">
        <is>
          <t>待确认</t>
        </is>
      </c>
      <c r="K222" t="inlineStr"/>
      <c r="L222" t="inlineStr">
        <is>
          <t>d2b6c40f72dbf058</t>
        </is>
      </c>
      <c r="M222" t="inlineStr">
        <is>
          <t>20260705-174222-auto-bills</t>
        </is>
      </c>
      <c r="N222" t="inlineStr">
        <is>
          <t>2026-06-28 19:39:48 | 商户消费 | 成都市浪漫煮义 | 蒲敏-微信 | 支出 | 18 | 零钱 | 支付成功 | 4500000280202606288093433274 | WX2606281939420000970140289 | /</t>
        </is>
      </c>
    </row>
    <row r="223">
      <c r="A223" t="inlineStr">
        <is>
          <t>2026-06-28</t>
        </is>
      </c>
      <c r="B223" t="inlineStr">
        <is>
          <t>微信</t>
        </is>
      </c>
      <c r="C223" t="inlineStr">
        <is>
          <t>支出</t>
        </is>
      </c>
      <c r="D223" t="n">
        <v>25</v>
      </c>
      <c r="E223" t="inlineStr">
        <is>
          <t>待分类</t>
        </is>
      </c>
      <c r="F223" t="inlineStr">
        <is>
          <t>老牛鸳鸯抄手 / 老牛鸳鸯抄手 / 支付成功</t>
        </is>
      </c>
      <c r="G223" t="inlineStr">
        <is>
          <t>账单导入/2026-07-05/extracted/微信/微信支付账单流水文件(20260405-20260705)——【解压密码可在微信支付公众号查看】.xlsx</t>
        </is>
      </c>
      <c r="H223" t="inlineStr">
        <is>
          <t>中</t>
        </is>
      </c>
      <c r="I223" t="inlineStr">
        <is>
          <t>个人/公司归属不明确，请确认</t>
        </is>
      </c>
      <c r="J223" t="inlineStr">
        <is>
          <t>待确认</t>
        </is>
      </c>
      <c r="K223" t="inlineStr"/>
      <c r="L223" t="inlineStr">
        <is>
          <t>10fa6bd53c77450c</t>
        </is>
      </c>
      <c r="M223" t="inlineStr">
        <is>
          <t>20260705-174222-auto-bills</t>
        </is>
      </c>
      <c r="N223" t="inlineStr">
        <is>
          <t>2026-06-28 19:36:55 | 商户消费 | 老牛鸳鸯抄手 | 老牛鸳鸯抄手 | 支出 | 25 | 零钱 | 支付成功 | 4500000292202606288414620635 | 7895081831497867 | /</t>
        </is>
      </c>
    </row>
    <row r="224">
      <c r="A224" t="inlineStr">
        <is>
          <t>2026-06-29</t>
        </is>
      </c>
      <c r="B224" t="inlineStr">
        <is>
          <t>微信</t>
        </is>
      </c>
      <c r="C224" t="inlineStr">
        <is>
          <t>收入</t>
        </is>
      </c>
      <c r="D224" t="n">
        <v>0.8</v>
      </c>
      <c r="E224" t="inlineStr">
        <is>
          <t>待分类</t>
        </is>
      </c>
      <c r="F224" t="inlineStr">
        <is>
          <t>打开拼多多，领更多现金红包 / / / 已到账</t>
        </is>
      </c>
      <c r="G224" t="inlineStr">
        <is>
          <t>账单导入/2026-07-05/extracted/微信/微信支付账单流水文件(20260405-20260705)——【解压密码可在微信支付公众号查看】.xlsx</t>
        </is>
      </c>
      <c r="H224" t="inlineStr">
        <is>
          <t>中</t>
        </is>
      </c>
      <c r="I224" t="inlineStr">
        <is>
          <t>疑似公司交易，请确认用途</t>
        </is>
      </c>
      <c r="J224" t="inlineStr">
        <is>
          <t>待确认</t>
        </is>
      </c>
      <c r="K224" t="inlineStr"/>
      <c r="L224" t="inlineStr">
        <is>
          <t>720e68fbdb48f5f2</t>
        </is>
      </c>
      <c r="M224" t="inlineStr">
        <is>
          <t>20260705-174222-auto-bills</t>
        </is>
      </c>
      <c r="N224" t="inlineStr">
        <is>
          <t>2026-06-29 12:45:16 | 其他 | 打开拼多多，领更多现金红包 | / | 收入 | 0.8 | / | 已到账 | 160876236726062910101004611554525623131221549 | 1200129470324260629010206051808379090376 | 打开拼多多，领更多现金红包</t>
        </is>
      </c>
    </row>
    <row r="225">
      <c r="A225" t="inlineStr">
        <is>
          <t>2026-06-29</t>
        </is>
      </c>
      <c r="B225" t="inlineStr">
        <is>
          <t>微信</t>
        </is>
      </c>
      <c r="C225" t="inlineStr">
        <is>
          <t>成本</t>
        </is>
      </c>
      <c r="D225" t="n">
        <v>35</v>
      </c>
      <c r="E225" t="inlineStr">
        <is>
          <t>购买费用</t>
        </is>
      </c>
      <c r="F225" t="inlineStr">
        <is>
          <t>顺丰速运 / 散单运费-顺丰速运 / 支付成功</t>
        </is>
      </c>
      <c r="G225" t="inlineStr">
        <is>
          <t>账单导入/2026-07-05/extracted/微信/微信支付账单流水文件(20260405-20260705)——【解压密码可在微信支付公众号查看】.xlsx</t>
        </is>
      </c>
      <c r="H225" t="inlineStr">
        <is>
          <t>中</t>
        </is>
      </c>
      <c r="I225" t="inlineStr">
        <is>
          <t>疑似公司交易，请确认用途</t>
        </is>
      </c>
      <c r="J225" t="inlineStr">
        <is>
          <t>待确认</t>
        </is>
      </c>
      <c r="K225" t="inlineStr"/>
      <c r="L225" t="inlineStr">
        <is>
          <t>796314c7049246db</t>
        </is>
      </c>
      <c r="M225" t="inlineStr">
        <is>
          <t>20260705-174222-auto-bills</t>
        </is>
      </c>
      <c r="N225" t="inlineStr">
        <is>
          <t>2026-06-29 20:13:32 | 商户消费 | 顺丰速运 | 散单运费-顺丰速运 | 支出 | 35 | 零钱 | 支付成功 | 4500000254202606291069051251 | 202606293378721451 | /</t>
        </is>
      </c>
    </row>
    <row r="226">
      <c r="A226" t="inlineStr">
        <is>
          <t>2026-06-29</t>
        </is>
      </c>
      <c r="B226" t="inlineStr">
        <is>
          <t>微信</t>
        </is>
      </c>
      <c r="C226" t="inlineStr">
        <is>
          <t>成本</t>
        </is>
      </c>
      <c r="D226" t="n">
        <v>83</v>
      </c>
      <c r="E226" t="inlineStr">
        <is>
          <t>购买费用</t>
        </is>
      </c>
      <c r="F226" t="inlineStr">
        <is>
          <t>拼多多平台商户 / 先用后付 / 支付成功</t>
        </is>
      </c>
      <c r="G226" t="inlineStr">
        <is>
          <t>账单导入/2026-07-05/extracted/微信/微信支付账单流水文件(20260405-20260705)——【解压密码可在微信支付公众号查看】.xlsx</t>
        </is>
      </c>
      <c r="H226" t="inlineStr">
        <is>
          <t>中</t>
        </is>
      </c>
      <c r="I226" t="inlineStr">
        <is>
          <t>疑似公司交易，请确认用途</t>
        </is>
      </c>
      <c r="J226" t="inlineStr">
        <is>
          <t>待确认</t>
        </is>
      </c>
      <c r="K226" t="inlineStr"/>
      <c r="L226" t="inlineStr">
        <is>
          <t>c6ac079fbda9a392</t>
        </is>
      </c>
      <c r="M226" t="inlineStr">
        <is>
          <t>20260705-174222-auto-bills</t>
        </is>
      </c>
      <c r="N226" t="inlineStr">
        <is>
          <t>2026-06-29 12:43:39 | 商户消费 | 拼多多平台商户 | 先用后付 | 支出 | 83 | 招商银行信用卡(1439) | 支付成功 | 4200003215202606290789714217 | riVBHWgElLPYlwCLeawKdzxxxxj3rlXx | /</t>
        </is>
      </c>
    </row>
    <row r="227">
      <c r="A227" t="inlineStr">
        <is>
          <t>2026-06-29</t>
        </is>
      </c>
      <c r="B227" t="inlineStr">
        <is>
          <t>微信</t>
        </is>
      </c>
      <c r="C227" t="inlineStr">
        <is>
          <t>支出</t>
        </is>
      </c>
      <c r="D227" t="n">
        <v>9500</v>
      </c>
      <c r="E227" t="inlineStr">
        <is>
          <t>待分类</t>
        </is>
      </c>
      <c r="F227" t="inlineStr">
        <is>
          <t>觉 (觉) / 转账备注:微信转账 / 对方已收钱</t>
        </is>
      </c>
      <c r="G227" t="inlineStr">
        <is>
          <t>账单导入/2026-07-05/extracted/微信/微信支付账单流水文件(20260405-20260705)——【解压密码可在微信支付公众号查看】.xlsx</t>
        </is>
      </c>
      <c r="H227" t="inlineStr">
        <is>
          <t>中</t>
        </is>
      </c>
      <c r="I227" t="inlineStr">
        <is>
          <t>个人/公司归属不明确，请确认</t>
        </is>
      </c>
      <c r="J227" t="inlineStr">
        <is>
          <t>待确认</t>
        </is>
      </c>
      <c r="K227" t="inlineStr"/>
      <c r="L227" t="inlineStr">
        <is>
          <t>7f19ae66af074f84</t>
        </is>
      </c>
      <c r="M227" t="inlineStr">
        <is>
          <t>20260705-174222-auto-bills</t>
        </is>
      </c>
      <c r="N227" t="inlineStr">
        <is>
          <t>2026-06-29 19:48:15 | 转账 | 觉 (觉) | 转账备注:微信转账 | 支出 | 9500 | 零钱 | 对方已收钱 | 53010003275178202606292545124517 | 1000050001202606290132312804292 | /</t>
        </is>
      </c>
    </row>
    <row r="228">
      <c r="A228" t="inlineStr">
        <is>
          <t>2026-06-30</t>
        </is>
      </c>
      <c r="B228" t="inlineStr">
        <is>
          <t>微信</t>
        </is>
      </c>
      <c r="C228" t="inlineStr">
        <is>
          <t>支出</t>
        </is>
      </c>
      <c r="D228" t="n">
        <v>21</v>
      </c>
      <c r="E228" t="inlineStr">
        <is>
          <t>待分类</t>
        </is>
      </c>
      <c r="F228" t="inlineStr">
        <is>
          <t>双流区第一人民医院 / 挂号费 / 支付成功</t>
        </is>
      </c>
      <c r="G228" t="inlineStr">
        <is>
          <t>账单导入/2026-07-05/extracted/微信/微信支付账单流水文件(20260405-20260705)——【解压密码可在微信支付公众号查看】.xlsx</t>
        </is>
      </c>
      <c r="H228" t="inlineStr">
        <is>
          <t>中</t>
        </is>
      </c>
      <c r="I228" t="inlineStr">
        <is>
          <t>个人/公司归属不明确，请确认</t>
        </is>
      </c>
      <c r="J228" t="inlineStr">
        <is>
          <t>待确认</t>
        </is>
      </c>
      <c r="K228" t="inlineStr"/>
      <c r="L228" t="inlineStr">
        <is>
          <t>87c96714f800b898</t>
        </is>
      </c>
      <c r="M228" t="inlineStr">
        <is>
          <t>20260705-174222-auto-bills</t>
        </is>
      </c>
      <c r="N228" t="inlineStr">
        <is>
          <t>2026-06-30 13:52:17 | 商户消费 | 双流区第一人民医院 | 挂号费 | 支出 | 21 | 零钱 | 支付成功 | 4500000270202606307593464795 | G26063013520950XBCV | /</t>
        </is>
      </c>
    </row>
    <row r="229">
      <c r="A229" t="inlineStr">
        <is>
          <t>2026-07-01</t>
        </is>
      </c>
      <c r="B229" t="inlineStr">
        <is>
          <t>微信</t>
        </is>
      </c>
      <c r="C229" t="inlineStr">
        <is>
          <t>支出</t>
        </is>
      </c>
      <c r="D229" t="n">
        <v>3</v>
      </c>
      <c r="E229" t="inlineStr">
        <is>
          <t>待分类</t>
        </is>
      </c>
      <c r="F229" t="inlineStr">
        <is>
          <t>双流空港交通公司 / [川A6Z73C]停车费; 空港交通公司（区一医院地下停车场） / 支付成功</t>
        </is>
      </c>
      <c r="G229" t="inlineStr">
        <is>
          <t>账单导入/2026-07-05/extracted/微信/微信支付账单流水文件(20260405-20260705)——【解压密码可在微信支付公众号查看】.xlsx</t>
        </is>
      </c>
      <c r="H229" t="inlineStr">
        <is>
          <t>中</t>
        </is>
      </c>
      <c r="I229" t="inlineStr">
        <is>
          <t>个人/公司归属不明确，请确认</t>
        </is>
      </c>
      <c r="J229" t="inlineStr">
        <is>
          <t>待确认</t>
        </is>
      </c>
      <c r="K229" t="inlineStr"/>
      <c r="L229" t="inlineStr">
        <is>
          <t>13cd033126c15bb8</t>
        </is>
      </c>
      <c r="M229" t="inlineStr">
        <is>
          <t>20260705-174222-auto-bills</t>
        </is>
      </c>
      <c r="N229" t="inlineStr">
        <is>
          <t>2026-07-01 14:16:04 | 商户消费 | 双流空港交通公司 | [川A6Z73C]停车费; 空港交通公司（区一医院地下停车场） | 支出 | 3 | 零钱 | 支付成功 | 4200003173202607010444890340 | 30210864564337551143163605467964 | /</t>
        </is>
      </c>
    </row>
    <row r="230">
      <c r="A230" t="inlineStr">
        <is>
          <t>2026-07-01</t>
        </is>
      </c>
      <c r="B230" t="inlineStr">
        <is>
          <t>微信</t>
        </is>
      </c>
      <c r="C230" t="inlineStr">
        <is>
          <t>支出</t>
        </is>
      </c>
      <c r="D230" t="n">
        <v>6</v>
      </c>
      <c r="E230" t="inlineStr">
        <is>
          <t>待分类</t>
        </is>
      </c>
      <c r="F230" t="inlineStr">
        <is>
          <t>成都双流万达广场商业管理有限公司 / 双xxxx场-川A6Z73C-ETCP小程序 / 支付成功</t>
        </is>
      </c>
      <c r="G230" t="inlineStr">
        <is>
          <t>账单导入/2026-07-05/extracted/微信/微信支付账单流水文件(20260405-20260705)——【解压密码可在微信支付公众号查看】.xlsx</t>
        </is>
      </c>
      <c r="H230" t="inlineStr">
        <is>
          <t>中</t>
        </is>
      </c>
      <c r="I230" t="inlineStr">
        <is>
          <t>个人/公司归属不明确，请确认</t>
        </is>
      </c>
      <c r="J230" t="inlineStr">
        <is>
          <t>待确认</t>
        </is>
      </c>
      <c r="K230" t="inlineStr"/>
      <c r="L230" t="inlineStr">
        <is>
          <t>0edd4f16c98935e3</t>
        </is>
      </c>
      <c r="M230" t="inlineStr">
        <is>
          <t>20260705-174222-auto-bills</t>
        </is>
      </c>
      <c r="N230" t="inlineStr">
        <is>
          <t>2026-07-01 20:05:23 | 商户消费 | 成都双流万达广场商业管理有限公司 | 双xxxx场-川A6Z73C-ETCP小程序 | 支出 | 6 | 零钱 | 支付成功 | 4200003186202607017405439799 | P2026070120051651738964410147519 | /</t>
        </is>
      </c>
    </row>
    <row r="231">
      <c r="A231" t="inlineStr">
        <is>
          <t>2026-07-01</t>
        </is>
      </c>
      <c r="B231" t="inlineStr">
        <is>
          <t>微信</t>
        </is>
      </c>
      <c r="C231" t="inlineStr">
        <is>
          <t>收入</t>
        </is>
      </c>
      <c r="D231" t="n">
        <v>13</v>
      </c>
      <c r="E231" t="inlineStr">
        <is>
          <t>待分类</t>
        </is>
      </c>
      <c r="F231" t="inlineStr">
        <is>
          <t>姐 (ruarua～) / 收款方备注:二维码收款 / 已转账</t>
        </is>
      </c>
      <c r="G231" t="inlineStr">
        <is>
          <t>账单导入/2026-07-05/extracted/微信/微信支付账单流水文件(20260405-20260705)——【解压密码可在微信支付公众号查看】.xlsx</t>
        </is>
      </c>
      <c r="H231" t="inlineStr">
        <is>
          <t>中</t>
        </is>
      </c>
      <c r="I231" t="inlineStr">
        <is>
          <t>个人/公司归属不明确，请确认</t>
        </is>
      </c>
      <c r="J231" t="inlineStr">
        <is>
          <t>待确认</t>
        </is>
      </c>
      <c r="K231" t="inlineStr"/>
      <c r="L231" t="inlineStr">
        <is>
          <t>c826f70abb6ad84f</t>
        </is>
      </c>
      <c r="M231" t="inlineStr">
        <is>
          <t>20260705-174222-auto-bills</t>
        </is>
      </c>
      <c r="N231" t="inlineStr">
        <is>
          <t>2026-07-01 18:36:13 | 扫二维码付款 | 姐 (ruarua～) | 收款方备注:二维码收款 | 支出 | 13 | 零钱 | 已转账 | 53110002010156202607013196036043 | 10001073012026070101509751846525 | /</t>
        </is>
      </c>
    </row>
    <row r="232">
      <c r="A232" t="inlineStr">
        <is>
          <t>2026-07-01</t>
        </is>
      </c>
      <c r="B232" t="inlineStr">
        <is>
          <t>微信</t>
        </is>
      </c>
      <c r="C232" t="inlineStr">
        <is>
          <t>收入</t>
        </is>
      </c>
      <c r="D232" t="n">
        <v>24</v>
      </c>
      <c r="E232" t="inlineStr">
        <is>
          <t>待分类</t>
        </is>
      </c>
      <c r="F232" t="inlineStr">
        <is>
          <t>姐 (ruarua～) / 收款方备注:二维码收款 / 已转账</t>
        </is>
      </c>
      <c r="G232" t="inlineStr">
        <is>
          <t>账单导入/2026-07-05/extracted/微信/微信支付账单流水文件(20260405-20260705)——【解压密码可在微信支付公众号查看】.xlsx</t>
        </is>
      </c>
      <c r="H232" t="inlineStr">
        <is>
          <t>中</t>
        </is>
      </c>
      <c r="I232" t="inlineStr">
        <is>
          <t>个人/公司归属不明确，请确认</t>
        </is>
      </c>
      <c r="J232" t="inlineStr">
        <is>
          <t>待确认</t>
        </is>
      </c>
      <c r="K232" t="inlineStr"/>
      <c r="L232" t="inlineStr">
        <is>
          <t>52acf782bdf2c813</t>
        </is>
      </c>
      <c r="M232" t="inlineStr">
        <is>
          <t>20260705-174222-auto-bills</t>
        </is>
      </c>
      <c r="N232" t="inlineStr">
        <is>
          <t>2026-07-01 17:38:07 | 扫二维码付款 | 姐 (ruarua～) | 收款方备注:二维码收款 | 支出 | 24 | 零钱 | 已转账 | 53110001883061202607011011701454 | 10001073012026070101812507261638 | /</t>
        </is>
      </c>
    </row>
    <row r="233">
      <c r="A233" t="inlineStr">
        <is>
          <t>2026-07-01</t>
        </is>
      </c>
      <c r="B233" t="inlineStr">
        <is>
          <t>微信</t>
        </is>
      </c>
      <c r="C233" t="inlineStr">
        <is>
          <t>支出</t>
        </is>
      </c>
      <c r="D233" t="n">
        <v>24</v>
      </c>
      <c r="E233" t="inlineStr">
        <is>
          <t>待分类</t>
        </is>
      </c>
      <c r="F233" t="inlineStr">
        <is>
          <t>番茄大抄手 / / / 支付成功</t>
        </is>
      </c>
      <c r="G233" t="inlineStr">
        <is>
          <t>账单导入/2026-07-05/extracted/微信/微信支付账单流水文件(20260405-20260705)——【解压密码可在微信支付公众号查看】.xlsx</t>
        </is>
      </c>
      <c r="H233" t="inlineStr">
        <is>
          <t>中</t>
        </is>
      </c>
      <c r="I233" t="inlineStr">
        <is>
          <t>个人/公司归属不明确，请确认</t>
        </is>
      </c>
      <c r="J233" t="inlineStr">
        <is>
          <t>待确认</t>
        </is>
      </c>
      <c r="K233" t="inlineStr"/>
      <c r="L233" t="inlineStr">
        <is>
          <t>d290595da466cfba</t>
        </is>
      </c>
      <c r="M233" t="inlineStr">
        <is>
          <t>20260705-174222-auto-bills</t>
        </is>
      </c>
      <c r="N233" t="inlineStr">
        <is>
          <t>2026-07-01 13:30:36 | 商户消费 | 番茄大抄手 | / | 支出 | 24 | 零钱 | 支付成功 | 4500000314202607013841347283 | 10359297265017828838300178259800 | /</t>
        </is>
      </c>
    </row>
    <row r="234">
      <c r="A234" t="inlineStr">
        <is>
          <t>2026-07-01</t>
        </is>
      </c>
      <c r="B234" t="inlineStr">
        <is>
          <t>微信</t>
        </is>
      </c>
      <c r="C234" t="inlineStr">
        <is>
          <t>支出</t>
        </is>
      </c>
      <c r="D234" t="n">
        <v>34.5</v>
      </c>
      <c r="E234" t="inlineStr">
        <is>
          <t>待分类</t>
        </is>
      </c>
      <c r="F234" t="inlineStr">
        <is>
          <t>重庆诚企瑞餐饮管理有限公司 / 【称重】_乡村基四川成都双流万达餐厅_286719_01081311 / 支付成功</t>
        </is>
      </c>
      <c r="G234" t="inlineStr">
        <is>
          <t>账单导入/2026-07-05/extracted/微信/微信支付账单流水文件(20260405-20260705)——【解压密码可在微信支付公众号查看】.xlsx</t>
        </is>
      </c>
      <c r="H234" t="inlineStr">
        <is>
          <t>中</t>
        </is>
      </c>
      <c r="I234" t="inlineStr">
        <is>
          <t>个人/公司归属不明确，请确认</t>
        </is>
      </c>
      <c r="J234" t="inlineStr">
        <is>
          <t>待确认</t>
        </is>
      </c>
      <c r="K234" t="inlineStr"/>
      <c r="L234" t="inlineStr">
        <is>
          <t>2fdf7e1a9b778873</t>
        </is>
      </c>
      <c r="M234" t="inlineStr">
        <is>
          <t>20260705-174222-auto-bills</t>
        </is>
      </c>
      <c r="N234" t="inlineStr">
        <is>
          <t>2026-07-01 19:48:50 | 商户消费 | 重庆诚企瑞餐饮管理有限公司 | 【称重】_乡村基四川成都双流万达餐厅_286719_01081311 | 支出 | 34.5 | 零钱 | 支付成功 | 4200003168202607019697524475 | 20260701110113130166232473400251 | /</t>
        </is>
      </c>
    </row>
    <row r="235">
      <c r="A235" t="inlineStr">
        <is>
          <t>2026-07-01</t>
        </is>
      </c>
      <c r="B235" t="inlineStr">
        <is>
          <t>微信</t>
        </is>
      </c>
      <c r="C235" t="inlineStr">
        <is>
          <t>支出</t>
        </is>
      </c>
      <c r="D235" t="n">
        <v>99</v>
      </c>
      <c r="E235" t="inlineStr">
        <is>
          <t>待分类</t>
        </is>
      </c>
      <c r="F235" t="inlineStr">
        <is>
          <t>乚 / / / 支付成功</t>
        </is>
      </c>
      <c r="G235" t="inlineStr">
        <is>
          <t>账单导入/2026-07-05/extracted/微信/微信支付账单流水文件(20260405-20260705)——【解压密码可在微信支付公众号查看】.xlsx</t>
        </is>
      </c>
      <c r="H235" t="inlineStr">
        <is>
          <t>中</t>
        </is>
      </c>
      <c r="I235" t="inlineStr">
        <is>
          <t>个人/公司归属不明确，请确认</t>
        </is>
      </c>
      <c r="J235" t="inlineStr">
        <is>
          <t>待确认</t>
        </is>
      </c>
      <c r="K235" t="inlineStr"/>
      <c r="L235" t="inlineStr">
        <is>
          <t>707575f5f57b36e9</t>
        </is>
      </c>
      <c r="M235" t="inlineStr">
        <is>
          <t>20260705-174222-auto-bills</t>
        </is>
      </c>
      <c r="N235" t="inlineStr">
        <is>
          <t>2026-07-01 16:16:13 | 商户消费 | 乚 | / | 支出 | 99 | 零钱 | 支付成功 | 4500000273202607018434244608 | 10359294575417828937660149547100 | /</t>
        </is>
      </c>
    </row>
    <row r="236">
      <c r="A236" t="inlineStr">
        <is>
          <t>2026-07-01</t>
        </is>
      </c>
      <c r="B236" t="inlineStr">
        <is>
          <t>招商银行</t>
        </is>
      </c>
      <c r="C236" t="inlineStr">
        <is>
          <t>支出</t>
        </is>
      </c>
      <c r="D236" t="n">
        <v>39.9</v>
      </c>
      <c r="E236" t="inlineStr">
        <is>
          <t>待分类</t>
        </is>
      </c>
      <c r="F236" t="inlineStr">
        <is>
          <t>CNY -  快捷支付 国投泰康信托有限公司</t>
        </is>
      </c>
      <c r="G236" t="inlineStr">
        <is>
          <t>账单导入/2026-07-05/extracted/招商银行/招商银行交易流水(申请时间2026年07月05日15时41分46秒).pdf</t>
        </is>
      </c>
      <c r="H236" t="inlineStr">
        <is>
          <t>中</t>
        </is>
      </c>
      <c r="I236" t="inlineStr">
        <is>
          <t>个人/公司归属不明确，请确认</t>
        </is>
      </c>
      <c r="J236" t="inlineStr">
        <is>
          <t>待确认</t>
        </is>
      </c>
      <c r="K236" t="inlineStr"/>
      <c r="L236" t="inlineStr">
        <is>
          <t>33ea0d49fb9878cd</t>
        </is>
      </c>
      <c r="M236" t="inlineStr">
        <is>
          <t>20260705-174222-auto-bills</t>
        </is>
      </c>
      <c r="N236" t="inlineStr">
        <is>
          <t>2026-07-01 CNY -39.90 5,462.40 快捷支付 国投泰康信托有限公司</t>
        </is>
      </c>
    </row>
    <row r="237">
      <c r="A237" t="inlineStr">
        <is>
          <t>2026-07-02</t>
        </is>
      </c>
      <c r="B237" t="inlineStr">
        <is>
          <t>微信</t>
        </is>
      </c>
      <c r="C237" t="inlineStr">
        <is>
          <t>收入</t>
        </is>
      </c>
      <c r="D237" t="n">
        <v>5</v>
      </c>
      <c r="E237" t="inlineStr">
        <is>
          <t>待分类</t>
        </is>
      </c>
      <c r="F237" t="inlineStr">
        <is>
          <t>停车费 / 收款方备注:二维码收款 / 已转账</t>
        </is>
      </c>
      <c r="G237" t="inlineStr">
        <is>
          <t>账单导入/2026-07-05/extracted/微信/微信支付账单流水文件(20260405-20260705)——【解压密码可在微信支付公众号查看】.xlsx</t>
        </is>
      </c>
      <c r="H237" t="inlineStr">
        <is>
          <t>中</t>
        </is>
      </c>
      <c r="I237" t="inlineStr">
        <is>
          <t>个人/公司归属不明确，请确认</t>
        </is>
      </c>
      <c r="J237" t="inlineStr">
        <is>
          <t>待确认</t>
        </is>
      </c>
      <c r="K237" t="inlineStr"/>
      <c r="L237" t="inlineStr">
        <is>
          <t>6d2153b127c06209</t>
        </is>
      </c>
      <c r="M237" t="inlineStr">
        <is>
          <t>20260705-174222-auto-bills</t>
        </is>
      </c>
      <c r="N237" t="inlineStr">
        <is>
          <t>2026-07-02 21:41:11 | 扫二维码付款 | 停车费 | 收款方备注:二维码收款 | 支出 | 5 | 零钱 | 已转账 | 53110002008104202607024292537833 | 10001073012026070201028368427590 | /</t>
        </is>
      </c>
    </row>
    <row r="238">
      <c r="A238" t="inlineStr">
        <is>
          <t>2026-07-02</t>
        </is>
      </c>
      <c r="B238" t="inlineStr">
        <is>
          <t>微信</t>
        </is>
      </c>
      <c r="C238" t="inlineStr">
        <is>
          <t>支出</t>
        </is>
      </c>
      <c r="D238" t="n">
        <v>5.68</v>
      </c>
      <c r="E238" t="inlineStr">
        <is>
          <t>待分类</t>
        </is>
      </c>
      <c r="F238" t="inlineStr">
        <is>
          <t>大米先生 / 【称重】_大米先生东大街餐厅_124601_01080524 / 支付成功</t>
        </is>
      </c>
      <c r="G238" t="inlineStr">
        <is>
          <t>账单导入/2026-07-05/extracted/微信/微信支付账单流水文件(20260405-20260705)——【解压密码可在微信支付公众号查看】.xlsx</t>
        </is>
      </c>
      <c r="H238" t="inlineStr">
        <is>
          <t>中</t>
        </is>
      </c>
      <c r="I238" t="inlineStr">
        <is>
          <t>疑似个人交易，请确认是否排除</t>
        </is>
      </c>
      <c r="J238" t="inlineStr">
        <is>
          <t>待确认</t>
        </is>
      </c>
      <c r="K238" t="inlineStr"/>
      <c r="L238" t="inlineStr">
        <is>
          <t>0ec204316c0e95b2</t>
        </is>
      </c>
      <c r="M238" t="inlineStr">
        <is>
          <t>20260705-174222-auto-bills</t>
        </is>
      </c>
      <c r="N238" t="inlineStr">
        <is>
          <t>2026-07-02 13:21:44 | 商户消费 | 大米先生 | 【称重】_大米先生东大街餐厅_124601_01080524 | 支出 | 5.68 | 零钱 | 支付成功 | 4200003145202607028295010091 | 20260702110113130166232476153131 | /</t>
        </is>
      </c>
    </row>
    <row r="239">
      <c r="A239" t="inlineStr">
        <is>
          <t>2026-07-02</t>
        </is>
      </c>
      <c r="B239" t="inlineStr">
        <is>
          <t>微信</t>
        </is>
      </c>
      <c r="C239" t="inlineStr">
        <is>
          <t>成本</t>
        </is>
      </c>
      <c r="D239" t="n">
        <v>17.47</v>
      </c>
      <c r="E239" t="inlineStr">
        <is>
          <t>购买费用</t>
        </is>
      </c>
      <c r="F239" t="inlineStr">
        <is>
          <t>拼多多平台商户 / 先用后付 / 支付成功</t>
        </is>
      </c>
      <c r="G239" t="inlineStr">
        <is>
          <t>账单导入/2026-07-05/extracted/微信/微信支付账单流水文件(20260405-20260705)——【解压密码可在微信支付公众号查看】.xlsx</t>
        </is>
      </c>
      <c r="H239" t="inlineStr">
        <is>
          <t>中</t>
        </is>
      </c>
      <c r="I239" t="inlineStr">
        <is>
          <t>疑似公司交易，请确认用途</t>
        </is>
      </c>
      <c r="J239" t="inlineStr">
        <is>
          <t>待确认</t>
        </is>
      </c>
      <c r="K239" t="inlineStr"/>
      <c r="L239" t="inlineStr">
        <is>
          <t>858f262b3706503d</t>
        </is>
      </c>
      <c r="M239" t="inlineStr">
        <is>
          <t>20260705-174222-auto-bills</t>
        </is>
      </c>
      <c r="N239" t="inlineStr">
        <is>
          <t>2026-07-02 09:33:36 | 商户消费 | 拼多多平台商户 | 先用后付 | 支出 | 17.47 | 招商银行信用卡(1439) | 支付成功 | 4200003212202607029476800816 | idQs8y5SQTGQtlKLON3mmzxxxxxT0iJx | /</t>
        </is>
      </c>
    </row>
    <row r="240">
      <c r="A240" t="inlineStr">
        <is>
          <t>2026-07-02</t>
        </is>
      </c>
      <c r="B240" t="inlineStr">
        <is>
          <t>微信</t>
        </is>
      </c>
      <c r="C240" t="inlineStr">
        <is>
          <t>退款</t>
        </is>
      </c>
      <c r="D240" t="n">
        <v>50</v>
      </c>
      <c r="E240" t="inlineStr">
        <is>
          <t>待分类</t>
        </is>
      </c>
      <c r="F240" t="inlineStr">
        <is>
          <t>ethereal (ethereal) / 转账备注:重装系统 / 已全额退款</t>
        </is>
      </c>
      <c r="G240" t="inlineStr">
        <is>
          <t>账单导入/2026-07-05/extracted/微信/微信支付账单流水文件(20260405-20260705)——【解压密码可在微信支付公众号查看】.xlsx</t>
        </is>
      </c>
      <c r="H240" t="inlineStr">
        <is>
          <t>中</t>
        </is>
      </c>
      <c r="I240" t="inlineStr">
        <is>
          <t>个人/公司归属不明确，请确认</t>
        </is>
      </c>
      <c r="J240" t="inlineStr">
        <is>
          <t>待确认</t>
        </is>
      </c>
      <c r="K240" t="inlineStr"/>
      <c r="L240" t="inlineStr">
        <is>
          <t>db8b634c1edd13f6</t>
        </is>
      </c>
      <c r="M240" t="inlineStr">
        <is>
          <t>20260705-174222-auto-bills</t>
        </is>
      </c>
      <c r="N240" t="inlineStr">
        <is>
          <t>2026-07-02 18:06:19 | 转账 | ethereal (ethereal) | 转账备注:重装系统 | 支出 | 50 | 零钱 | 已全额退款 | 53010003274217202607022846166880 | 1000050001202607020431956353595 | /</t>
        </is>
      </c>
    </row>
    <row r="241">
      <c r="A241" t="inlineStr">
        <is>
          <t>2026-07-02</t>
        </is>
      </c>
      <c r="B241" t="inlineStr">
        <is>
          <t>微信</t>
        </is>
      </c>
      <c r="C241" t="inlineStr">
        <is>
          <t>支出</t>
        </is>
      </c>
      <c r="D241" t="n">
        <v>50</v>
      </c>
      <c r="E241" t="inlineStr">
        <is>
          <t>待分类</t>
        </is>
      </c>
      <c r="F241" t="inlineStr">
        <is>
          <t>青羽-老铁送水（6点停止接单，押金50） (青羽-老铁送水（6点停止接单）) / 转账备注:水桶押金 / 对方已收钱</t>
        </is>
      </c>
      <c r="G241" t="inlineStr">
        <is>
          <t>账单导入/2026-07-05/extracted/微信/微信支付账单流水文件(20260405-20260705)——【解压密码可在微信支付公众号查看】.xlsx</t>
        </is>
      </c>
      <c r="H241" t="inlineStr">
        <is>
          <t>中</t>
        </is>
      </c>
      <c r="I241" t="inlineStr">
        <is>
          <t>个人/公司归属不明确，请确认</t>
        </is>
      </c>
      <c r="J241" t="inlineStr">
        <is>
          <t>待确认</t>
        </is>
      </c>
      <c r="K241" t="inlineStr"/>
      <c r="L241" t="inlineStr">
        <is>
          <t>43b660912d6f9c9e</t>
        </is>
      </c>
      <c r="M241" t="inlineStr">
        <is>
          <t>20260705-174222-auto-bills</t>
        </is>
      </c>
      <c r="N241" t="inlineStr">
        <is>
          <t>2026-07-02 17:37:31 | 转账 | 青羽-老铁送水（6点停止接单，押金50） (青羽-老铁送水（6点停止接单）) | 转账备注:水桶押金 | 支出 | 50 | 零钱 | 对方已收钱 | 53010003166111202607022616270056 | 1000050001202607020030205328489 | /</t>
        </is>
      </c>
    </row>
    <row r="242">
      <c r="A242" t="inlineStr">
        <is>
          <t>2026-07-03</t>
        </is>
      </c>
      <c r="B242" t="inlineStr">
        <is>
          <t>微信</t>
        </is>
      </c>
      <c r="C242" t="inlineStr">
        <is>
          <t>收入</t>
        </is>
      </c>
      <c r="D242" t="n">
        <v>4</v>
      </c>
      <c r="E242" t="inlineStr">
        <is>
          <t>待分类</t>
        </is>
      </c>
      <c r="F242" t="inlineStr">
        <is>
          <t>李艳婷 / 收款方备注:二维码收款 / 已转账</t>
        </is>
      </c>
      <c r="G242" t="inlineStr">
        <is>
          <t>账单导入/2026-07-05/extracted/微信/微信支付账单流水文件(20260405-20260705)——【解压密码可在微信支付公众号查看】.xlsx</t>
        </is>
      </c>
      <c r="H242" t="inlineStr">
        <is>
          <t>中</t>
        </is>
      </c>
      <c r="I242" t="inlineStr">
        <is>
          <t>个人/公司归属不明确，请确认</t>
        </is>
      </c>
      <c r="J242" t="inlineStr">
        <is>
          <t>待确认</t>
        </is>
      </c>
      <c r="K242" t="inlineStr"/>
      <c r="L242" t="inlineStr">
        <is>
          <t>20684fbfdd36d632</t>
        </is>
      </c>
      <c r="M242" t="inlineStr">
        <is>
          <t>20260705-174222-auto-bills</t>
        </is>
      </c>
      <c r="N242" t="inlineStr">
        <is>
          <t>2026-07-03 07:32:16 | 扫二维码付款 | 李艳婷 | 收款方备注:二维码收款 | 支出 | 4 | 零钱 | 已转账 | 53110001839065202607030522491521 | 10001073012026070301206876857603 | /</t>
        </is>
      </c>
    </row>
    <row r="243">
      <c r="A243" t="inlineStr">
        <is>
          <t>2026-07-03</t>
        </is>
      </c>
      <c r="B243" t="inlineStr">
        <is>
          <t>微信</t>
        </is>
      </c>
      <c r="C243" t="inlineStr">
        <is>
          <t>收入</t>
        </is>
      </c>
      <c r="D243" t="n">
        <v>7.5</v>
      </c>
      <c r="E243" t="inlineStr">
        <is>
          <t>待分类</t>
        </is>
      </c>
      <c r="F243" t="inlineStr">
        <is>
          <t>欣欣便民超市丨双流店 / 收款方备注:二维码收款 / 已转账</t>
        </is>
      </c>
      <c r="G243" t="inlineStr">
        <is>
          <t>账单导入/2026-07-05/extracted/微信/微信支付账单流水文件(20260405-20260705)——【解压密码可在微信支付公众号查看】.xlsx</t>
        </is>
      </c>
      <c r="H243" t="inlineStr">
        <is>
          <t>中</t>
        </is>
      </c>
      <c r="I243" t="inlineStr">
        <is>
          <t>疑似个人交易，请确认是否排除</t>
        </is>
      </c>
      <c r="J243" t="inlineStr">
        <is>
          <t>待确认</t>
        </is>
      </c>
      <c r="K243" t="inlineStr"/>
      <c r="L243" t="inlineStr">
        <is>
          <t>9022cacc83986a00</t>
        </is>
      </c>
      <c r="M243" t="inlineStr">
        <is>
          <t>20260705-174222-auto-bills</t>
        </is>
      </c>
      <c r="N243" t="inlineStr">
        <is>
          <t>2026-07-03 07:29:49 | 扫二维码付款 | 欣欣便民超市丨双流店 | 收款方备注:二维码收款 | 支出 | 7.5 | 零钱 | 已转账 | 53110001883182202607032709843848 | 10001073012026070301941332197566 | /</t>
        </is>
      </c>
    </row>
    <row r="244">
      <c r="A244" t="inlineStr">
        <is>
          <t>2026-07-03</t>
        </is>
      </c>
      <c r="B244" t="inlineStr">
        <is>
          <t>微信</t>
        </is>
      </c>
      <c r="C244" t="inlineStr">
        <is>
          <t>支出</t>
        </is>
      </c>
      <c r="D244" t="n">
        <v>9</v>
      </c>
      <c r="E244" t="inlineStr">
        <is>
          <t>待分类</t>
        </is>
      </c>
      <c r="F244" t="inlineStr">
        <is>
          <t>蓬源物业 / 川A6Z73C停车 / 支付成功</t>
        </is>
      </c>
      <c r="G244" t="inlineStr">
        <is>
          <t>账单导入/2026-07-05/extracted/微信/微信支付账单流水文件(20260405-20260705)——【解压密码可在微信支付公众号查看】.xlsx</t>
        </is>
      </c>
      <c r="H244" t="inlineStr">
        <is>
          <t>中</t>
        </is>
      </c>
      <c r="I244" t="inlineStr">
        <is>
          <t>个人/公司归属不明确，请确认</t>
        </is>
      </c>
      <c r="J244" t="inlineStr">
        <is>
          <t>待确认</t>
        </is>
      </c>
      <c r="K244" t="inlineStr"/>
      <c r="L244" t="inlineStr">
        <is>
          <t>0fd8a3fd5962b2dd</t>
        </is>
      </c>
      <c r="M244" t="inlineStr">
        <is>
          <t>20260705-174222-auto-bills</t>
        </is>
      </c>
      <c r="N244" t="inlineStr">
        <is>
          <t>2026-07-03 18:47:21 | 商户消费 | 蓬源物业 | 川A6Z73C停车 | 支出 | 9 | 零钱 | 支付成功 | 4500000247202607038845037976 | 0001215295726184 | /</t>
        </is>
      </c>
    </row>
    <row r="245">
      <c r="A245" t="inlineStr">
        <is>
          <t>2026-07-03</t>
        </is>
      </c>
      <c r="B245" t="inlineStr">
        <is>
          <t>微信</t>
        </is>
      </c>
      <c r="C245" t="inlineStr">
        <is>
          <t>支出</t>
        </is>
      </c>
      <c r="D245" t="n">
        <v>34.66</v>
      </c>
      <c r="E245" t="inlineStr">
        <is>
          <t>待分类</t>
        </is>
      </c>
      <c r="F245" t="inlineStr">
        <is>
          <t>大米先生 / 【称重】_大米先生东大街餐厅_124601_01080524 / 支付成功</t>
        </is>
      </c>
      <c r="G245" t="inlineStr">
        <is>
          <t>账单导入/2026-07-05/extracted/微信/微信支付账单流水文件(20260405-20260705)——【解压密码可在微信支付公众号查看】.xlsx</t>
        </is>
      </c>
      <c r="H245" t="inlineStr">
        <is>
          <t>中</t>
        </is>
      </c>
      <c r="I245" t="inlineStr">
        <is>
          <t>疑似个人交易，请确认是否排除</t>
        </is>
      </c>
      <c r="J245" t="inlineStr">
        <is>
          <t>待确认</t>
        </is>
      </c>
      <c r="K245" t="inlineStr"/>
      <c r="L245" t="inlineStr">
        <is>
          <t>dfd7c4973b73418a</t>
        </is>
      </c>
      <c r="M245" t="inlineStr">
        <is>
          <t>20260705-174222-auto-bills</t>
        </is>
      </c>
      <c r="N245" t="inlineStr">
        <is>
          <t>2026-07-03 19:44:58 | 商户消费 | 大米先生 | 【称重】_大米先生东大街餐厅_124601_01080524 | 支出 | 34.66 | 零钱 | 支付成功 | 4200003173202607031745813449 | 20260703110113130166232482098964 | /</t>
        </is>
      </c>
    </row>
    <row r="246">
      <c r="A246" t="inlineStr">
        <is>
          <t>2026-07-03</t>
        </is>
      </c>
      <c r="B246" t="inlineStr">
        <is>
          <t>微信</t>
        </is>
      </c>
      <c r="C246" t="inlineStr">
        <is>
          <t>退款</t>
        </is>
      </c>
      <c r="D246" t="n">
        <v>50</v>
      </c>
      <c r="E246" t="inlineStr">
        <is>
          <t>待分类</t>
        </is>
      </c>
      <c r="F246" t="inlineStr">
        <is>
          <t>/ / 转账备注:重装系统 / 已全额退款</t>
        </is>
      </c>
      <c r="G246" t="inlineStr">
        <is>
          <t>账单导入/2026-07-05/extracted/微信/微信支付账单流水文件(20260405-20260705)——【解压密码可在微信支付公众号查看】.xlsx</t>
        </is>
      </c>
      <c r="H246" t="inlineStr">
        <is>
          <t>中</t>
        </is>
      </c>
      <c r="I246" t="inlineStr">
        <is>
          <t>个人/公司归属不明确，请确认</t>
        </is>
      </c>
      <c r="J246" t="inlineStr">
        <is>
          <t>待确认</t>
        </is>
      </c>
      <c r="K246" t="inlineStr"/>
      <c r="L246" t="inlineStr">
        <is>
          <t>da36080c75fcd73b</t>
        </is>
      </c>
      <c r="M246" t="inlineStr">
        <is>
          <t>20260705-174222-auto-bills</t>
        </is>
      </c>
      <c r="N246" t="inlineStr">
        <is>
          <t>2026-07-03 18:06:20 | 转账-退款 | / | 转账备注:重装系统 | 收入 | 50 | 零钱 | 已全额退款 | 132100005020101202607030012064067712221 |  | /</t>
        </is>
      </c>
    </row>
    <row r="247">
      <c r="A247" t="inlineStr">
        <is>
          <t>2026-07-03</t>
        </is>
      </c>
      <c r="B247" t="inlineStr">
        <is>
          <t>微信</t>
        </is>
      </c>
      <c r="C247" t="inlineStr">
        <is>
          <t>收入</t>
        </is>
      </c>
      <c r="D247" t="n">
        <v>60</v>
      </c>
      <c r="E247" t="inlineStr">
        <is>
          <t>待分类</t>
        </is>
      </c>
      <c r="F247" t="inlineStr">
        <is>
          <t>爱吃DQ的仓鼠🐹 (爱吃DQ的仓鼠🐹) / 转账备注:微信转账 / 已存入零钱</t>
        </is>
      </c>
      <c r="G247" t="inlineStr">
        <is>
          <t>账单导入/2026-07-05/extracted/微信/微信支付账单流水文件(20260405-20260705)——【解压密码可在微信支付公众号查看】.xlsx</t>
        </is>
      </c>
      <c r="H247" t="inlineStr">
        <is>
          <t>中</t>
        </is>
      </c>
      <c r="I247" t="inlineStr">
        <is>
          <t>个人/公司归属不明确，请确认</t>
        </is>
      </c>
      <c r="J247" t="inlineStr">
        <is>
          <t>待确认</t>
        </is>
      </c>
      <c r="K247" t="inlineStr"/>
      <c r="L247" t="inlineStr">
        <is>
          <t>37d21156e6293742</t>
        </is>
      </c>
      <c r="M247" t="inlineStr">
        <is>
          <t>20260705-174222-auto-bills</t>
        </is>
      </c>
      <c r="N247" t="inlineStr">
        <is>
          <t>2026-07-03 20:36:56 | 转账 | 爱吃DQ的仓鼠🐹 (爱吃DQ的仓鼠🐹) | 转账备注:微信转账 | 收入 | 60 | / | 已存入零钱 | 1000050001202607030624613264753 | / | /</t>
        </is>
      </c>
    </row>
    <row r="248">
      <c r="A248" t="inlineStr">
        <is>
          <t>2026-07-03</t>
        </is>
      </c>
      <c r="B248" t="inlineStr">
        <is>
          <t>微信</t>
        </is>
      </c>
      <c r="C248" t="inlineStr">
        <is>
          <t>退款</t>
        </is>
      </c>
      <c r="D248" t="n">
        <v>66</v>
      </c>
      <c r="E248" t="inlineStr">
        <is>
          <t>待分类</t>
        </is>
      </c>
      <c r="F248" t="inlineStr">
        <is>
          <t>爸爸 (吴六松) / 转账备注:微信转账 / 已全额退款</t>
        </is>
      </c>
      <c r="G248" t="inlineStr">
        <is>
          <t>账单导入/2026-07-05/extracted/微信/微信支付账单流水文件(20260405-20260705)——【解压密码可在微信支付公众号查看】.xlsx</t>
        </is>
      </c>
      <c r="H248" t="inlineStr">
        <is>
          <t>中</t>
        </is>
      </c>
      <c r="I248" t="inlineStr">
        <is>
          <t>个人/公司归属不明确，请确认</t>
        </is>
      </c>
      <c r="J248" t="inlineStr">
        <is>
          <t>待确认</t>
        </is>
      </c>
      <c r="K248" t="inlineStr"/>
      <c r="L248" t="inlineStr">
        <is>
          <t>e1b623125247f591</t>
        </is>
      </c>
      <c r="M248" t="inlineStr">
        <is>
          <t>20260705-174222-auto-bills</t>
        </is>
      </c>
      <c r="N248" t="inlineStr">
        <is>
          <t>2026-07-03 19:27:59 | 转账 | 爸爸 (吴六松) | 转账备注:微信转账 | 支出 | 66 | 零钱 | 已全额退款 | 53010003269245202607033188567238 | 1000050001202607030032538986648 | /</t>
        </is>
      </c>
    </row>
    <row r="249">
      <c r="A249" t="inlineStr">
        <is>
          <t>2026-07-03</t>
        </is>
      </c>
      <c r="B249" t="inlineStr">
        <is>
          <t>微信</t>
        </is>
      </c>
      <c r="C249" t="inlineStr">
        <is>
          <t>支出</t>
        </is>
      </c>
      <c r="D249" t="n">
        <v>89</v>
      </c>
      <c r="E249" t="inlineStr">
        <is>
          <t>待分类</t>
        </is>
      </c>
      <c r="F249" t="inlineStr">
        <is>
          <t>中国电信 / 微信小程序充值 / 支付成功</t>
        </is>
      </c>
      <c r="G249" t="inlineStr">
        <is>
          <t>账单导入/2026-07-05/extracted/微信/微信支付账单流水文件(20260405-20260705)——【解压密码可在微信支付公众号查看】.xlsx</t>
        </is>
      </c>
      <c r="H249" t="inlineStr">
        <is>
          <t>中</t>
        </is>
      </c>
      <c r="I249" t="inlineStr">
        <is>
          <t>疑似个人交易，请确认是否排除</t>
        </is>
      </c>
      <c r="J249" t="inlineStr">
        <is>
          <t>待确认</t>
        </is>
      </c>
      <c r="K249" t="inlineStr"/>
      <c r="L249" t="inlineStr">
        <is>
          <t>0ad656457f54f7f9</t>
        </is>
      </c>
      <c r="M249" t="inlineStr">
        <is>
          <t>20260705-174222-auto-bills</t>
        </is>
      </c>
      <c r="N249" t="inlineStr">
        <is>
          <t>2026-07-03 22:52:52 | 商户消费 | 中国电信 | 微信小程序充值 | 支出 | 89 | 零钱 | 支付成功 | 4500000309202607035997507480 | ZF260703225247100000000071977738 | /</t>
        </is>
      </c>
    </row>
    <row r="250">
      <c r="A250" t="inlineStr">
        <is>
          <t>2026-07-03</t>
        </is>
      </c>
      <c r="B250" t="inlineStr">
        <is>
          <t>微信</t>
        </is>
      </c>
      <c r="C250" t="inlineStr">
        <is>
          <t>支出</t>
        </is>
      </c>
      <c r="D250" t="n">
        <v>116</v>
      </c>
      <c r="E250" t="inlineStr">
        <is>
          <t>待分类</t>
        </is>
      </c>
      <c r="F250" t="inlineStr">
        <is>
          <t>麦当劳 / 麦当劳 / 支付成功</t>
        </is>
      </c>
      <c r="G250" t="inlineStr">
        <is>
          <t>账单导入/2026-07-05/extracted/微信/微信支付账单流水文件(20260405-20260705)——【解压密码可在微信支付公众号查看】.xlsx</t>
        </is>
      </c>
      <c r="H250" t="inlineStr">
        <is>
          <t>中</t>
        </is>
      </c>
      <c r="I250" t="inlineStr">
        <is>
          <t>疑似个人交易，请确认是否排除</t>
        </is>
      </c>
      <c r="J250" t="inlineStr">
        <is>
          <t>待确认</t>
        </is>
      </c>
      <c r="K250" t="inlineStr"/>
      <c r="L250" t="inlineStr">
        <is>
          <t>5f66b2e5319ba829</t>
        </is>
      </c>
      <c r="M250" t="inlineStr">
        <is>
          <t>20260705-174222-auto-bills</t>
        </is>
      </c>
      <c r="N250" t="inlineStr">
        <is>
          <t>2026-07-03 12:42:34 | 商户消费 | 麦当劳 | 麦当劳 | 支出 | 116 | 零钱 | 支付成功 | 4200003150202607034524846903 | 12993134629652336640 | /</t>
        </is>
      </c>
    </row>
    <row r="251">
      <c r="A251" t="inlineStr">
        <is>
          <t>2026-07-03</t>
        </is>
      </c>
      <c r="B251" t="inlineStr">
        <is>
          <t>微信</t>
        </is>
      </c>
      <c r="C251" t="inlineStr">
        <is>
          <t>收入</t>
        </is>
      </c>
      <c r="D251" t="n">
        <v>120</v>
      </c>
      <c r="E251" t="inlineStr">
        <is>
          <t>待分类</t>
        </is>
      </c>
      <c r="F251" t="inlineStr">
        <is>
          <t>宁， (宁，) / 收款方备注:二维码收款付款方留言:补胎 / 已转账</t>
        </is>
      </c>
      <c r="G251" t="inlineStr">
        <is>
          <t>账单导入/2026-07-05/extracted/微信/微信支付账单流水文件(20260405-20260705)——【解压密码可在微信支付公众号查看】.xlsx</t>
        </is>
      </c>
      <c r="H251" t="inlineStr">
        <is>
          <t>中</t>
        </is>
      </c>
      <c r="I251" t="inlineStr">
        <is>
          <t>个人/公司归属不明确，请确认</t>
        </is>
      </c>
      <c r="J251" t="inlineStr">
        <is>
          <t>待确认</t>
        </is>
      </c>
      <c r="K251" t="inlineStr"/>
      <c r="L251" t="inlineStr">
        <is>
          <t>f906706090153b15</t>
        </is>
      </c>
      <c r="M251" t="inlineStr">
        <is>
          <t>20260705-174222-auto-bills</t>
        </is>
      </c>
      <c r="N251" t="inlineStr">
        <is>
          <t>2026-07-03 21:25:40 | 扫二维码付款 | 宁， (宁，) | 收款方备注:二维码收款付款方留言:补胎 | 支出 | 120 | 零钱 | 已转账 | 53110001891116202607033544053649 | 10001073012026070301713223132514 | /</t>
        </is>
      </c>
    </row>
    <row r="252">
      <c r="A252" t="inlineStr">
        <is>
          <t>2026-07-03</t>
        </is>
      </c>
      <c r="B252" t="inlineStr">
        <is>
          <t>微信</t>
        </is>
      </c>
      <c r="C252" t="inlineStr">
        <is>
          <t>成本</t>
        </is>
      </c>
      <c r="D252" t="n">
        <v>376</v>
      </c>
      <c r="E252" t="inlineStr">
        <is>
          <t>购买费用</t>
        </is>
      </c>
      <c r="F252" t="inlineStr">
        <is>
          <t>EF拍摄基地【营业时间9:00-17:30】 (EF拍摄基地【营业时间9:00-17:30】) / 转账备注:微信转账 / 对方已收钱</t>
        </is>
      </c>
      <c r="G252" t="inlineStr">
        <is>
          <t>账单导入/2026-07-05/extracted/微信/微信支付账单流水文件(20260405-20260705)——【解压密码可在微信支付公众号查看】.xlsx</t>
        </is>
      </c>
      <c r="H252" t="inlineStr">
        <is>
          <t>中</t>
        </is>
      </c>
      <c r="I252" t="inlineStr">
        <is>
          <t>疑似公司交易，请确认用途</t>
        </is>
      </c>
      <c r="J252" t="inlineStr">
        <is>
          <t>待确认</t>
        </is>
      </c>
      <c r="K252" t="inlineStr"/>
      <c r="L252" t="inlineStr">
        <is>
          <t>f05d69d0c7f6ab30</t>
        </is>
      </c>
      <c r="M252" t="inlineStr">
        <is>
          <t>20260705-174222-auto-bills</t>
        </is>
      </c>
      <c r="N252" t="inlineStr">
        <is>
          <t>2026-07-03 15:53:40 | 转账 | EF拍摄基地【营业时间9:00-17:30】 (EF拍摄基地【营业时间9:00-17:30】) | 转账备注:微信转账 | 支出 | 376 | 零钱 | 对方已收钱 | 53010003265009202607033950953347 | 1000050001202607030132848224048 | /</t>
        </is>
      </c>
    </row>
    <row r="253">
      <c r="A253" t="inlineStr">
        <is>
          <t>2026-07-04</t>
        </is>
      </c>
      <c r="B253" t="inlineStr">
        <is>
          <t>微信</t>
        </is>
      </c>
      <c r="C253" t="inlineStr">
        <is>
          <t>退款</t>
        </is>
      </c>
      <c r="D253" t="n">
        <v>66</v>
      </c>
      <c r="E253" t="inlineStr">
        <is>
          <t>待分类</t>
        </is>
      </c>
      <c r="F253" t="inlineStr">
        <is>
          <t>/ / 转账备注:微信转账 / 已全额退款</t>
        </is>
      </c>
      <c r="G253" t="inlineStr">
        <is>
          <t>账单导入/2026-07-05/extracted/微信/微信支付账单流水文件(20260405-20260705)——【解压密码可在微信支付公众号查看】.xlsx</t>
        </is>
      </c>
      <c r="H253" t="inlineStr">
        <is>
          <t>中</t>
        </is>
      </c>
      <c r="I253" t="inlineStr">
        <is>
          <t>个人/公司归属不明确，请确认</t>
        </is>
      </c>
      <c r="J253" t="inlineStr">
        <is>
          <t>待确认</t>
        </is>
      </c>
      <c r="K253" t="inlineStr"/>
      <c r="L253" t="inlineStr">
        <is>
          <t>ff4caca38193776e</t>
        </is>
      </c>
      <c r="M253" t="inlineStr">
        <is>
          <t>20260705-174222-auto-bills</t>
        </is>
      </c>
      <c r="N253" t="inlineStr">
        <is>
          <t>2026-07-04 19:28:00 | 转账-退款 | / | 转账备注:微信转账 | 收入 | 66 | 零钱 | 已全额退款 | 132100005020101202607040012091144351221 |  | /</t>
        </is>
      </c>
    </row>
    <row r="254">
      <c r="A254" t="inlineStr">
        <is>
          <t>2026-07-04</t>
        </is>
      </c>
      <c r="B254" t="inlineStr">
        <is>
          <t>微信</t>
        </is>
      </c>
      <c r="C254" t="inlineStr">
        <is>
          <t>成本</t>
        </is>
      </c>
      <c r="D254" t="n">
        <v>100</v>
      </c>
      <c r="E254" t="inlineStr">
        <is>
          <t>购买费用</t>
        </is>
      </c>
      <c r="F254" t="inlineStr">
        <is>
          <t>拼多多平台商户 / 先用后付 / 支付成功</t>
        </is>
      </c>
      <c r="G254" t="inlineStr">
        <is>
          <t>账单导入/2026-07-05/extracted/微信/微信支付账单流水文件(20260405-20260705)——【解压密码可在微信支付公众号查看】.xlsx</t>
        </is>
      </c>
      <c r="H254" t="inlineStr">
        <is>
          <t>中</t>
        </is>
      </c>
      <c r="I254" t="inlineStr">
        <is>
          <t>疑似公司交易，请确认用途</t>
        </is>
      </c>
      <c r="J254" t="inlineStr">
        <is>
          <t>待确认</t>
        </is>
      </c>
      <c r="K254" t="inlineStr"/>
      <c r="L254" t="inlineStr">
        <is>
          <t>8b03e58772600b68</t>
        </is>
      </c>
      <c r="M254" t="inlineStr">
        <is>
          <t>20260705-174222-auto-bills</t>
        </is>
      </c>
      <c r="N254" t="inlineStr">
        <is>
          <t>2026-07-04 14:13:46 | 商户消费 | 拼多多平台商户 | 先用后付 | 支出 | 100 | 招商银行信用卡(1439) | 支付成功 | 4200003128202607044156068432 | C7XGwyYcoLagZtv560N8CxxxxxPgGRSx | /</t>
        </is>
      </c>
    </row>
    <row r="255">
      <c r="A255" t="inlineStr">
        <is>
          <t>2026-07-05</t>
        </is>
      </c>
      <c r="B255" t="inlineStr">
        <is>
          <t>微信</t>
        </is>
      </c>
      <c r="C255" t="inlineStr">
        <is>
          <t>收入</t>
        </is>
      </c>
      <c r="D255" t="n">
        <v>0.58</v>
      </c>
      <c r="E255" t="inlineStr">
        <is>
          <t>待分类</t>
        </is>
      </c>
      <c r="F255" t="inlineStr">
        <is>
          <t>揭金盖 “码”上赢1亿个现金红包 / / / 已到账</t>
        </is>
      </c>
      <c r="G255" t="inlineStr">
        <is>
          <t>账单导入/2026-07-05/extracted/微信/微信支付账单流水文件(20260405-20260705)——【解压密码可在微信支付公众号查看】.xlsx</t>
        </is>
      </c>
      <c r="H255" t="inlineStr">
        <is>
          <t>中</t>
        </is>
      </c>
      <c r="I255" t="inlineStr">
        <is>
          <t>个人/公司归属不明确，请确认</t>
        </is>
      </c>
      <c r="J255" t="inlineStr">
        <is>
          <t>待确认</t>
        </is>
      </c>
      <c r="K255" t="inlineStr"/>
      <c r="L255" t="inlineStr">
        <is>
          <t>c7016e4e96c933d6</t>
        </is>
      </c>
      <c r="M255" t="inlineStr">
        <is>
          <t>20260705-174222-auto-bills</t>
        </is>
      </c>
      <c r="N255" t="inlineStr">
        <is>
          <t>2026-07-05 14:07:39 | 其他 | 揭金盖 “码”上赢1亿个现金红包 | / | 收入 | 0.58 | / | 已到账 | 147296570226070510109004132298149821131221603 | 131020406048300269420752026070543460327262 | 揭金盖 “码”上赢1亿个现金红包</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2022-11-06T05:34:00Z</dcterms:created>
  <dcterms:modified xmlns:dcterms="http://purl.org/dc/terms/" xmlns:xsi="http://www.w3.org/2001/XMLSchema-instance" xsi:type="dcterms:W3CDTF">2026-07-05T09:42:22Z</dcterms:modified>
  <cp:lastModifiedBy>kevin</cp:lastModifiedBy>
  <cp:lastPrinted>2025-01-29T19:34:00Z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0x01010079F111ED35F8CC479449609E8A0923A6</vt:lpwstr>
  </property>
  <property name="ICV" fmtid="{D5CDD505-2E9C-101B-9397-08002B2CF9AE}" pid="3">
    <vt:lpwstr xmlns:vt="http://schemas.openxmlformats.org/officeDocument/2006/docPropsVTypes">DF4FB14254274AF2BE341A850C89F621_12</vt:lpwstr>
  </property>
  <property name="KSOProductBuildVer" fmtid="{D5CDD505-2E9C-101B-9397-08002B2CF9AE}" pid="4">
    <vt:lpwstr xmlns:vt="http://schemas.openxmlformats.org/officeDocument/2006/docPropsVTypes">2052-12.1.0.16120</vt:lpwstr>
  </property>
</Properties>
</file>