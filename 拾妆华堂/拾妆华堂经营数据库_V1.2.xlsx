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031278c6e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库" sheetId="1" r:id="R1a96ad1749694fd6"/>
    <x:sheet xmlns:r="http://schemas.openxmlformats.org/officeDocument/2006/relationships" name="客户CRM" sheetId="2" r:id="Re9371f6a951844a2"/>
    <x:sheet xmlns:r="http://schemas.openxmlformats.org/officeDocument/2006/relationships" name="案例库" sheetId="3" r:id="R66ed6d9ea645417d"/>
    <x:sheet xmlns:r="http://schemas.openxmlformats.org/officeDocument/2006/relationships" name="内容库" sheetId="4" r:id="R4ba8282f22d643df"/>
    <x:sheet xmlns:r="http://schemas.openxmlformats.org/officeDocument/2006/relationships" name="运营数据" sheetId="5" r:id="R6fdb595112b947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¥#,##0"/>
    <x:numFmt numFmtId="201" formatCode="yyyy-mm-dd"/>
    <x:numFmt numFmtId="202" formatCode="#,##0"/>
    <x:numFmt numFmtId="203" formatCode="0.0%"/>
    <x:numFmt numFmtId="204" formatCode="0.0x"/>
  </x:numFmts>
  <x:fonts count="5">
    <x:font>
      <x:sz val="11"/>
      <x:name val="Carlito"/>
    </x:font>
    <x:font>
      <x:sz val="10"/>
      <x:color rgb="FF24211F"/>
      <x:name val="Aptos"/>
    </x:font>
    <x:font>
      <x:b/>
      <x:sz val="10"/>
      <x:color rgb="FFFFFFFF"/>
      <x:name val="Aptos"/>
    </x:font>
    <x:font>
      <x:b/>
      <x:sz val="10"/>
      <x:color rgb="FF9B4A3C"/>
      <x:name val="Aptos"/>
    </x:font>
    <x:font>
      <x:b/>
      <x:sz val="10"/>
      <x:color rgb="FF24211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24211F"/>
      </x:patternFill>
    </x:fill>
    <x:fill>
      <x:patternFill patternType="solid">
        <x:fgColor rgb="FFFFFDF9"/>
      </x:patternFill>
    </x:fill>
    <x:fill>
      <x:patternFill patternType="solid">
        <x:fgColor rgb="FFF6F1E8"/>
      </x:patternFill>
    </x:fill>
  </x:fills>
  <x:borders count="5">
    <x:border/>
    <x:border>
      <x:bottom style="medium">
        <x:color rgb="FFA98455"/>
      </x:bottom>
    </x:border>
    <x:border>
      <x:bottom style="thin">
        <x:color rgb="FFD9D0C3"/>
      </x:bottom>
    </x:border>
    <x:border>
      <x:top style="thin">
        <x:color rgb="FFD9D0C3"/>
      </x:top>
      <x:bottom style="thin">
        <x:color rgb="FFD9D0C3"/>
      </x:bottom>
    </x:border>
    <x:border>
      <x:top style="thin">
        <x:color rgb="FFD9D0C3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vertical="top" wrapText="1"/>
    </x:xf>
    <x:xf numFmtId="200" fontId="1" fillId="3" borderId="3" xfId="0" applyNumberFormat="1" applyFont="1" applyFill="1" applyBorder="1" applyAlignment="1">
      <x:alignment vertical="top" wrapText="1"/>
    </x:xf>
    <x:xf numFmtId="200" fontId="1" fillId="3" borderId="4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horizontal="right" vertical="top" wrapText="1"/>
    </x:xf>
    <x:xf numFmtId="200" fontId="1" fillId="3" borderId="3" xfId="0" applyNumberFormat="1" applyFont="1" applyFill="1" applyBorder="1" applyAlignment="1">
      <x:alignment horizontal="right" vertical="top" wrapText="1"/>
    </x:xf>
    <x:xf numFmtId="200" fontId="1" fillId="3" borderId="4" xfId="0" applyNumberFormat="1" applyFont="1" applyFill="1" applyBorder="1" applyAlignment="1">
      <x:alignment horizontal="right"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3" borderId="2" xfId="0" applyNumberFormat="1" applyFont="1" applyFill="1" applyBorder="1" applyAlignment="1">
      <x:alignment vertical="top" wrapText="1"/>
    </x:xf>
    <x:xf numFmtId="201" fontId="1" fillId="3" borderId="3" xfId="0" applyNumberFormat="1" applyFont="1" applyFill="1" applyBorder="1" applyAlignment="1">
      <x:alignment vertical="top" wrapText="1"/>
    </x:xf>
    <x:xf numFmtId="201" fontId="1" fillId="3" borderId="4" xfId="0" applyNumberFormat="1" applyFont="1" applyFill="1" applyBorder="1" applyAlignment="1">
      <x:alignment vertical="top" wrapText="1"/>
    </x:xf>
    <x:xf numFmtId="202" fontId="1" fillId="3" borderId="2" xfId="0" applyNumberFormat="1" applyFont="1" applyFill="1" applyBorder="1" applyAlignment="1">
      <x:alignment vertical="top" wrapText="1"/>
    </x:xf>
    <x:xf numFmtId="202" fontId="1" fillId="3" borderId="3" xfId="0" applyNumberFormat="1" applyFont="1" applyFill="1" applyBorder="1" applyAlignment="1">
      <x:alignment vertical="top" wrapText="1"/>
    </x:xf>
    <x:xf numFmtId="202" fontId="1" fillId="3" borderId="4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  <x:xf numFmtId="204" fontId="1" fillId="3" borderId="0" xfId="0" applyNumberFormat="1" applyFont="1" applyFill="1" applyBorder="1" applyAlignment="1">
      <x:alignment vertical="top" wrapText="1"/>
    </x:xf>
    <x:xf numFmtId="202" fontId="1" fillId="4" borderId="0" xfId="0" applyNumberFormat="1" applyFont="1" applyFill="1" applyBorder="1" applyAlignment="1">
      <x:alignment vertical="top" wrapText="1"/>
    </x:xf>
    <x:xf numFmtId="203" fontId="1" fillId="4" borderId="0" xfId="0" applyNumberFormat="1" applyFont="1" applyFill="1" applyBorder="1" applyAlignment="1">
      <x:alignment vertical="top" wrapText="1"/>
    </x:xf>
    <x:xf numFmtId="204" fontId="1" fillId="4" borderId="0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6">
    <x:dxf>
      <x:font>
        <x:b/>
        <x:color rgb="FF526D61"/>
      </x:font>
      <x:fill>
        <x:patternFill patternType="solid">
          <x:bgColor rgb="FFE5EEE8"/>
        </x:patternFill>
      </x:fill>
    </x:dxf>
    <x:dxf>
      <x:font>
        <x:b/>
        <x:color rgb="FFA98455"/>
      </x:font>
      <x:fill>
        <x:patternFill patternType="solid">
          <x:bgColor rgb="FFEFE3D1"/>
        </x:patternFill>
      </x:fill>
    </x:dxf>
    <x:dxf>
      <x:font>
        <x:b/>
        <x:color rgb="FF58738D"/>
      </x:font>
      <x:fill>
        <x:patternFill patternType="solid">
          <x:bgColor rgb="FFE7EEF4"/>
        </x:patternFill>
      </x:fill>
    </x:dxf>
    <x:dxf>
      <x:font>
        <x:b/>
        <x:color rgb="FF9B4A3C"/>
      </x:font>
      <x:fill>
        <x:patternFill patternType="solid">
          <x:bgColor rgb="FFF3E4E0"/>
        </x:patternFill>
      </x:fill>
    </x:dxf>
    <x:dxf>
      <x:font>
        <x:b/>
        <x:color rgb="FF526D61"/>
      </x:font>
      <x:fill>
        <x:patternFill patternType="solid">
          <x:bgColor rgb="FFE5EEE8"/>
        </x:patternFill>
      </x:fill>
    </x:dxf>
    <x:dxf>
      <x:font>
        <x:b/>
        <x:color rgb="FFA98455"/>
      </x:font>
      <x:fill>
        <x:patternFill patternType="solid">
          <x:bgColor rgb="FFEFE3D1"/>
        </x:patternFill>
      </x:fill>
    </x:dxf>
    <x:dxf>
      <x:font>
        <x:b/>
        <x:color rgb="FF58738D"/>
      </x:font>
      <x:fill>
        <x:patternFill patternType="solid">
          <x:bgColor rgb="FFE7EEF4"/>
        </x:patternFill>
      </x:fill>
    </x:dxf>
    <x:dxf>
      <x:font>
        <x:b/>
        <x:color rgb="FF9B4A3C"/>
      </x:font>
      <x:fill>
        <x:patternFill patternType="solid">
          <x:bgColor rgb="FFF3E4E0"/>
        </x:patternFill>
      </x:fill>
    </x:dxf>
    <x:dxf>
      <x:font>
        <x:b/>
        <x:color rgb="FF526D61"/>
      </x:font>
      <x:fill>
        <x:patternFill patternType="solid">
          <x:bgColor rgb="FFE5EEE8"/>
        </x:patternFill>
      </x:fill>
    </x:dxf>
    <x:dxf>
      <x:font>
        <x:b/>
        <x:color rgb="FFA98455"/>
      </x:font>
      <x:fill>
        <x:patternFill patternType="solid">
          <x:bgColor rgb="FFEFE3D1"/>
        </x:patternFill>
      </x:fill>
    </x:dxf>
    <x:dxf>
      <x:font>
        <x:b/>
        <x:color rgb="FF58738D"/>
      </x:font>
      <x:fill>
        <x:patternFill patternType="solid">
          <x:bgColor rgb="FFE7EEF4"/>
        </x:patternFill>
      </x:fill>
    </x:dxf>
    <x:dxf>
      <x:font>
        <x:b/>
        <x:color rgb="FF9B4A3C"/>
      </x:font>
      <x:fill>
        <x:patternFill patternType="solid">
          <x:bgColor rgb="FFF3E4E0"/>
        </x:patternFill>
      </x:fill>
    </x:dxf>
    <x:dxf>
      <x:font>
        <x:b/>
        <x:color rgb="FF526D61"/>
      </x:font>
      <x:fill>
        <x:patternFill patternType="solid">
          <x:bgColor rgb="FFE5EEE8"/>
        </x:patternFill>
      </x:fill>
    </x:dxf>
    <x:dxf>
      <x:font>
        <x:b/>
        <x:color rgb="FFA98455"/>
      </x:font>
      <x:fill>
        <x:patternFill patternType="solid">
          <x:bgColor rgb="FFEFE3D1"/>
        </x:patternFill>
      </x:fill>
    </x:dxf>
    <x:dxf>
      <x:font>
        <x:b/>
        <x:color rgb="FF58738D"/>
      </x:font>
      <x:fill>
        <x:patternFill patternType="solid">
          <x:bgColor rgb="FFE7EEF4"/>
        </x:patternFill>
      </x:fill>
    </x:dxf>
    <x:dxf>
      <x:font>
        <x:b/>
        <x:color rgb="FF9B4A3C"/>
      </x:font>
      <x:fill>
        <x:patternFill patternType="solid">
          <x:bgColor rgb="FFF3E4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cd0d78afff4b4b" /><Relationship Type="http://schemas.openxmlformats.org/officeDocument/2006/relationships/theme" Target="/xl/theme/theme1.xml" Id="Ra5941aadc5924518" /><Relationship Type="http://schemas.microsoft.com/office/2022/11/relationships/FeaturePropertyBag" Target="/xl/featurePropertyBag/featurePropertyBag.xml" Id="R602527ea286e4242" /><Relationship Type="http://schemas.openxmlformats.org/officeDocument/2006/relationships/sharedStrings" Target="/xl/sharedStrings.xml" Id="Ra088922f61314c51" /><Relationship Type="http://schemas.openxmlformats.org/officeDocument/2006/relationships/worksheet" Target="/xl/worksheets/sheet1.xml" Id="R1a96ad1749694fd6" /><Relationship Type="http://schemas.openxmlformats.org/officeDocument/2006/relationships/worksheet" Target="/xl/worksheets/sheet2.xml" Id="Re9371f6a951844a2" /><Relationship Type="http://schemas.openxmlformats.org/officeDocument/2006/relationships/worksheet" Target="/xl/worksheets/sheet3.xml" Id="R66ed6d9ea645417d" /><Relationship Type="http://schemas.openxmlformats.org/officeDocument/2006/relationships/worksheet" Target="/xl/worksheets/sheet4.xml" Id="R4ba8282f22d643df" /><Relationship Type="http://schemas.openxmlformats.org/officeDocument/2006/relationships/worksheet" Target="/xl/worksheets/sheet5.xml" Id="R6fdb595112b947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Catalog" displayName="ProductCatalog" ref="A1:S18" headerRowCount="1" totalsRowCount="0" totalsRowShown="0">
  <x:autoFilter ref="A1:S18"/>
  <x:tableColumns count="19">
    <x:tableColumn id="1" name="商品编号"/>
    <x:tableColumn id="2" name="商品名称"/>
    <x:tableColumn id="3" name="一级分类"/>
    <x:tableColumn id="4" name="二级分类"/>
    <x:tableColumn id="5" name="商品定位"/>
    <x:tableColumn id="6" name="客户画像"/>
    <x:tableColumn id="7" name="历史成交价"/>
    <x:tableColumn id="8" name="当前上架价"/>
    <x:tableColumn id="9" name="当前参考价"/>
    <x:tableColumn id="10" name="未来目标价"/>
    <x:tableColumn id="11" name="商品状态"/>
    <x:tableColumn id="12" name="负责人角色"/>
    <x:tableColumn id="13" name="执行人"/>
    <x:tableColumn id="14" name="服务流程"/>
    <x:tableColumn id="15" name="交付内容"/>
    <x:tableColumn id="16" name="推荐平台"/>
    <x:tableColumn id="17" name="内容方向"/>
    <x:tableColumn id="18" name="AI化潜力"/>
    <x:tableColumn id="19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CRM" displayName="CustomerCRM" ref="A1:T2" headerRowCount="1" totalsRowCount="0" totalsRowShown="0">
  <x:tableColumns count="20">
    <x:tableColumn id="1" name="客户编号"/>
    <x:tableColumn id="2" name="首次联系日期"/>
    <x:tableColumn id="3" name="客户姓名/昵称"/>
    <x:tableColumn id="4" name="联系方式"/>
    <x:tableColumn id="5" name="年龄段"/>
    <x:tableColumn id="6" name="来源平台"/>
    <x:tableColumn id="7" name="需求类型"/>
    <x:tableColumn id="8" name="核心需求"/>
    <x:tableColumn id="9" name="偏好风格"/>
    <x:tableColumn id="10" name="预算"/>
    <x:tableColumn id="11" name="推荐商品"/>
    <x:tableColumn id="12" name="报价"/>
    <x:tableColumn id="13" name="当前阶段"/>
    <x:tableColumn id="14" name="未成交原因"/>
    <x:tableColumn id="15" name="是否复购"/>
    <x:tableColumn id="16" name="是否转介绍"/>
    <x:tableColumn id="17" name="下次跟进日期"/>
    <x:tableColumn id="18" name="运营负责人"/>
    <x:tableColumn id="19" name="专业负责人"/>
    <x:tableColumn id="20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seLibrary" displayName="CaseLibrary" ref="A1:V2" headerRowCount="1" totalsRowCount="0" totalsRowShown="0">
  <x:tableColumns count="22">
    <x:tableColumn id="1" name="案例编号"/>
    <x:tableColumn id="2" name="客户编号"/>
    <x:tableColumn id="3" name="项目类型"/>
    <x:tableColumn id="4" name="案例名称"/>
    <x:tableColumn id="5" name="人物/婚礼背景"/>
    <x:tableColumn id="6" name="原始困扰"/>
    <x:tableColumn id="7" name="设计思路"/>
    <x:tableColumn id="8" name="妆造要点"/>
    <x:tableColumn id="9" name="摄影要点"/>
    <x:tableColumn id="10" name="风格标签"/>
    <x:tableColumn id="11" name="素材路径"/>
    <x:tableColumn id="12" name="是否有过程素材"/>
    <x:tableColumn id="13" name="是否已授权"/>
    <x:tableColumn id="14" name="适合平台"/>
    <x:tableColumn id="15" name="对应商品"/>
    <x:tableColumn id="16" name="发布状态"/>
    <x:tableColumn id="17" name="小红书/内容链接"/>
    <x:tableColumn id="18" name="客户反馈"/>
    <x:tableColumn id="19" name="可宣传卖点"/>
    <x:tableColumn id="20" name="运营负责人"/>
    <x:tableColumn id="21" name="专业负责人"/>
    <x:tableColumn id="22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entLibrary" displayName="ContentLibrary" ref="A1:X15" headerRowCount="1" totalsRowCount="0" totalsRowShown="0">
  <x:tableColumns count="24">
    <x:tableColumn id="1" name="内容编号"/>
    <x:tableColumn id="2" name="标题/选题"/>
    <x:tableColumn id="3" name="内容栏目"/>
    <x:tableColumn id="4" name="内容形式"/>
    <x:tableColumn id="5" name="目标平台"/>
    <x:tableColumn id="6" name="对应商品"/>
    <x:tableColumn id="7" name="目标人群"/>
    <x:tableColumn id="8" name="核心钩子"/>
    <x:tableColumn id="9" name="素材需求"/>
    <x:tableColumn id="10" name="素材路径"/>
    <x:tableColumn id="11" name="内容状态"/>
    <x:tableColumn id="12" name="计划发布日期"/>
    <x:tableColumn id="13" name="实际发布日期"/>
    <x:tableColumn id="14" name="曝光"/>
    <x:tableColumn id="15" name="点赞"/>
    <x:tableColumn id="16" name="收藏"/>
    <x:tableColumn id="17" name="评论"/>
    <x:tableColumn id="18" name="私信咨询"/>
    <x:tableColumn id="19" name="成交订单"/>
    <x:tableColumn id="20" name="成交金额"/>
    <x:tableColumn id="21" name="复盘结论"/>
    <x:tableColumn id="22" name="运营负责人"/>
    <x:tableColumn id="23" name="出镜/专业负责人"/>
    <x:tableColumn id="24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rationsData" displayName="OperationsData" ref="A1:U2" headerRowCount="1" totalsRowCount="0" totalsRowShown="0">
  <x:tableColumns count="21">
    <x:tableColumn id="1" name="日期"/>
    <x:tableColumn id="2" name="平台"/>
    <x:tableColumn id="3" name="内容/活动"/>
    <x:tableColumn id="4" name="对应商品"/>
    <x:tableColumn id="5" name="曝光"/>
    <x:tableColumn id="6" name="互动"/>
    <x:tableColumn id="7" name="收藏"/>
    <x:tableColumn id="8" name="私信咨询"/>
    <x:tableColumn id="9" name="预约"/>
    <x:tableColumn id="10" name="成交订单"/>
    <x:tableColumn id="11" name="成交金额"/>
    <x:tableColumn id="12" name="推广费"/>
    <x:tableColumn id="13" name="场地费"/>
    <x:tableColumn id="14" name="合作成本"/>
    <x:tableColumn id="15" name="其他成本"/>
    <x:tableColumn id="16" name="总可变成本"/>
    <x:tableColumn id="17" name="咨询率"/>
    <x:tableColumn id="18" name="咨询成交率"/>
    <x:tableColumn id="19" name="投入产出比"/>
    <x:tableColumn id="20" name="新增微信"/>
    <x:tableColumn id="2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9a0ef95ace46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dffbf8841e4c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d33133b19cc48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b02ca084bb648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0a43d0b069b44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11" hidden="0" customWidth="1"/>
    <x:col min="4" max="4" width="13" hidden="0" customWidth="1"/>
    <x:col min="5" max="5" width="13" hidden="0" customWidth="1"/>
    <x:col min="6" max="6" width="28" hidden="0" customWidth="1"/>
    <x:col min="7" max="7" width="15" hidden="0" customWidth="1"/>
    <x:col min="8" max="8" width="16" hidden="0" customWidth="1"/>
    <x:col min="9" max="9" width="12" hidden="0" customWidth="1"/>
    <x:col min="10" max="10" width="14" hidden="0" customWidth="1"/>
    <x:col min="11" max="11" width="14" hidden="0" customWidth="1"/>
    <x:col min="12" max="12" width="18" hidden="0" customWidth="1"/>
    <x:col min="13" max="13" width="16" hidden="0" customWidth="1"/>
    <x:col min="14" max="14" width="34" hidden="0" customWidth="1"/>
    <x:col min="15" max="15" width="32" hidden="0" customWidth="1"/>
    <x:col min="16" max="16" width="22" hidden="0" customWidth="1"/>
    <x:col min="17" max="17" width="32" hidden="0" customWidth="1"/>
    <x:col min="18" max="18" width="11" hidden="0" customWidth="1"/>
    <x:col min="19" max="19" width="32" hidden="0" customWidth="1"/>
  </x:cols>
  <x:sheetData>
    <x:row r="1" ht="34" customHeight="1">
      <x:c r="A1" s="7" t="str">
        <x:v>商品编号</x:v>
      </x:c>
      <x:c r="B1" s="7" t="str">
        <x:v>商品名称</x:v>
      </x:c>
      <x:c r="C1" s="7" t="str">
        <x:v>一级分类</x:v>
      </x:c>
      <x:c r="D1" s="7" t="str">
        <x:v>二级分类</x:v>
      </x:c>
      <x:c r="E1" s="7" t="str">
        <x:v>商品定位</x:v>
      </x:c>
      <x:c r="F1" s="7" t="str">
        <x:v>客户画像</x:v>
      </x:c>
      <x:c r="G1" s="7" t="str">
        <x:v>历史成交价</x:v>
      </x:c>
      <x:c r="H1" s="7" t="str">
        <x:v>当前上架价</x:v>
      </x:c>
      <x:c r="I1" s="7" t="str">
        <x:v>当前参考价</x:v>
      </x:c>
      <x:c r="J1" s="7" t="str">
        <x:v>未来目标价</x:v>
      </x:c>
      <x:c r="K1" s="7" t="str">
        <x:v>商品状态</x:v>
      </x:c>
      <x:c r="L1" s="7" t="str">
        <x:v>负责人角色</x:v>
      </x:c>
      <x:c r="M1" s="7" t="str">
        <x:v>执行人</x:v>
      </x:c>
      <x:c r="N1" s="7" t="str">
        <x:v>服务流程</x:v>
      </x:c>
      <x:c r="O1" s="7" t="str">
        <x:v>交付内容</x:v>
      </x:c>
      <x:c r="P1" s="7" t="str">
        <x:v>推荐平台</x:v>
      </x:c>
      <x:c r="Q1" s="7" t="str">
        <x:v>内容方向</x:v>
      </x:c>
      <x:c r="R1" s="7" t="str">
        <x:v>AI化潜力</x:v>
      </x:c>
      <x:c r="S1" s="7" t="str">
        <x:v>备注</x:v>
      </x:c>
    </x:row>
    <x:row r="2">
      <x:c r="A2" s="24" t="str">
        <x:v>SZ014</x:v>
      </x:c>
      <x:c r="B2" s="27" t="str">
        <x:v>初见 · 单妆服务</x:v>
      </x:c>
      <x:c r="C2" s="15" t="str">
        <x:v>妆造</x:v>
      </x:c>
      <x:c r="D2" s="15" t="str">
        <x:v>日常单妆</x:v>
      </x:c>
      <x:c r="E2" s="15" t="str">
        <x:v>低门槛入口</x:v>
      </x:c>
      <x:c r="F2" s="15" t="str">
        <x:v>约会、聚会、年会及临时活动中只需要妆容的人</x:v>
      </x:c>
      <x:c r="G2" s="15" t="str">
        <x:v>单妆历史价未单独统计</x:v>
      </x:c>
      <x:c r="H2" s="15" t="str">
        <x:v>199-299元</x:v>
      </x:c>
      <x:c r="I2" s="21" t="n">
        <x:v>249</x:v>
      </x:c>
      <x:c r="J2" s="15" t="str">
        <x:v>399元</x:v>
      </x:c>
      <x:c r="K2" s="15" t="str">
        <x:v>测试阶段</x:v>
      </x:c>
      <x:c r="L2" s="56" t="str">
        <x:v>运营/妆造</x:v>
      </x:c>
      <x:c r="M2" s="56" t="str">
        <x:v>Kevin/萱萱</x:v>
      </x:c>
      <x:c r="N2" s="15" t="str">
        <x:v>用途与风格沟通→肤质/五官判断→妆容完成→现场确认</x:v>
      </x:c>
      <x:c r="O2" s="15" t="str">
        <x:v>只含妆容；不含发型、摄影、精修或动态影像</x:v>
      </x:c>
      <x:c r="P2" s="15" t="str">
        <x:v>小红书/闲鱼/私域</x:v>
      </x:c>
      <x:c r="Q2" s="15" t="str">
        <x:v>单妆前后变化、不同场景妆容、临时活动妆</x:v>
      </x:c>
      <x:c r="R2" s="15" t="str">
        <x:v>中</x:v>
      </x:c>
      <x:c r="S2" s="15" t="str">
        <x:v>复杂妆面、上门、早班和跨区域交通另计</x:v>
      </x:c>
    </x:row>
    <x:row r="3">
      <x:c r="A3" s="25" t="str">
        <x:v>SZ015</x:v>
      </x:c>
      <x:c r="B3" s="28" t="str">
        <x:v>初见 · 日常妆发</x:v>
      </x:c>
      <x:c r="C3" s="16" t="str">
        <x:v>妆造</x:v>
      </x:c>
      <x:c r="D3" s="16" t="str">
        <x:v>日常妆发</x:v>
      </x:c>
      <x:c r="E3" s="16" t="str">
        <x:v>主推入口</x:v>
      </x:c>
      <x:c r="F3" s="16" t="str">
        <x:v>约会、聚会、年会及日常重要场合需要完整妆发的人</x:v>
      </x:c>
      <x:c r="G3" s="16" t="str">
        <x:v>写真妆造约500元，单独妆发未统计</x:v>
      </x:c>
      <x:c r="H3" s="16" t="str">
        <x:v>299-499元</x:v>
      </x:c>
      <x:c r="I3" s="22" t="n">
        <x:v>399</x:v>
      </x:c>
      <x:c r="J3" s="16" t="str">
        <x:v>699元</x:v>
      </x:c>
      <x:c r="K3" s="16" t="str">
        <x:v>测试阶段</x:v>
      </x:c>
      <x:c r="L3" s="57" t="str">
        <x:v>运营/妆造</x:v>
      </x:c>
      <x:c r="M3" s="57" t="str">
        <x:v>Kevin/萱萱</x:v>
      </x:c>
      <x:c r="N3" s="16" t="str">
        <x:v>用途与风格沟通→妆面设计→简单发型→现场确认</x:v>
      </x:c>
      <x:c r="O3" s="16" t="str">
        <x:v>妆容加简单发型；不含摄影、精修或动态影像</x:v>
      </x:c>
      <x:c r="P3" s="16" t="str">
        <x:v>小红书/闲鱼/私域</x:v>
      </x:c>
      <x:c r="Q3" s="16" t="str">
        <x:v>日常妆发前后变化、不会化妆如何准备重要场合</x:v>
      </x:c>
      <x:c r="R3" s="16" t="str">
        <x:v>中</x:v>
      </x:c>
      <x:c r="S3" s="16" t="str">
        <x:v>复杂发型、指定饰品、上门、早班和跨区域交通另计</x:v>
      </x:c>
    </x:row>
    <x:row r="4">
      <x:c r="A4" s="25" t="str">
        <x:v>SZ016</x:v>
      </x:c>
      <x:c r="B4" s="28" t="str">
        <x:v>臻选 · 东方主题妆造</x:v>
      </x:c>
      <x:c r="C4" s="16" t="str">
        <x:v>妆造</x:v>
      </x:c>
      <x:c r="D4" s="16" t="str">
        <x:v>东方主题</x:v>
      </x:c>
      <x:c r="E4" s="16" t="str">
        <x:v>品牌特色</x:v>
      </x:c>
      <x:c r="F4" s="16" t="str">
        <x:v>汉服、新中式、国风活动及主题聚会用户</x:v>
      </x:c>
      <x:c r="G4" s="16" t="str">
        <x:v>写真妆造约500元，主题单妆未单独统计</x:v>
      </x:c>
      <x:c r="H4" s="16" t="str">
        <x:v>499-899元</x:v>
      </x:c>
      <x:c r="I4" s="22" t="n">
        <x:v>699</x:v>
      </x:c>
      <x:c r="J4" s="16" t="str">
        <x:v>1299元+</x:v>
      </x:c>
      <x:c r="K4" s="16" t="str">
        <x:v>测试阶段</x:v>
      </x:c>
      <x:c r="L4" s="57" t="str">
        <x:v>运营/妆造</x:v>
      </x:c>
      <x:c r="M4" s="57" t="str">
        <x:v>Kevin/萱萱</x:v>
      </x:c>
      <x:c r="N4" s="16" t="str">
        <x:v>主题沟通→服装与人物分析→东方妆面→主题发型与基础饰品搭配→现场确认</x:v>
      </x:c>
      <x:c r="O4" s="16" t="str">
        <x:v>东方主题妆容加发型；不含摄影、精修或动态影像</x:v>
      </x:c>
      <x:c r="P4" s="16" t="str">
        <x:v>小红书/闲鱼/私域</x:v>
      </x:c>
      <x:c r="Q4" s="16" t="str">
        <x:v>东方妆造过程、发饰搭配、汉服活动造型</x:v>
      </x:c>
      <x:c r="R4" s="16" t="str">
        <x:v>高</x:v>
      </x:c>
      <x:c r="S4" s="16" t="str">
        <x:v>复杂发型、指定饰品、上门、早班和跨区域交通另计</x:v>
      </x:c>
    </x:row>
    <x:row r="5">
      <x:c r="A5" s="25" t="str">
        <x:v>SZ017</x:v>
      </x:c>
      <x:c r="B5" s="28" t="str">
        <x:v>婚礼亲友妆造</x:v>
      </x:c>
      <x:c r="C5" s="16" t="str">
        <x:v>妆造</x:v>
      </x:c>
      <x:c r="D5" s="16" t="str">
        <x:v>婚礼亲友</x:v>
      </x:c>
      <x:c r="E5" s="16" t="str">
        <x:v>团体增收</x:v>
      </x:c>
      <x:c r="F5" s="16" t="str">
        <x:v>伴娘、婚礼妈妈及其他婚礼亲友</x:v>
      </x:c>
      <x:c r="G5" s="16" t="str">
        <x:v>历史成交价未单独统计</x:v>
      </x:c>
      <x:c r="H5" s="16" t="str">
        <x:v>299-599元/人</x:v>
      </x:c>
      <x:c r="I5" s="22" t="n">
        <x:v>399</x:v>
      </x:c>
      <x:c r="J5" s="16" t="str">
        <x:v>699元/人+</x:v>
      </x:c>
      <x:c r="K5" s="16" t="str">
        <x:v>测试阶段</x:v>
      </x:c>
      <x:c r="L5" s="57" t="str">
        <x:v>运营/妆造</x:v>
      </x:c>
      <x:c r="M5" s="57" t="str">
        <x:v>Kevin/萱萱</x:v>
      </x:c>
      <x:c r="N5" s="16" t="str">
        <x:v>人数与婚礼信息确认→角色和服装沟通→妆容或妆发执行→现场确认</x:v>
      </x:c>
      <x:c r="O5" s="16" t="str">
        <x:v>按选择提供单妆或妆发；不含新娘造型与摄影</x:v>
      </x:c>
      <x:c r="P5" s="16" t="str">
        <x:v>小红书/闲鱼/私域</x:v>
      </x:c>
      <x:c r="Q5" s="16" t="str">
        <x:v>伴娘妈妈妆前后、亲友妆造如何统一又不抢新娘</x:v>
      </x:c>
      <x:c r="R5" s="16" t="str">
        <x:v>中</x:v>
      </x:c>
      <x:c r="S5" s="16" t="str">
        <x:v>多人、复杂发型、上门、早班和跨区域交通单独报价</x:v>
      </x:c>
    </x:row>
    <x:row r="6">
      <x:c r="A6" s="25" t="str">
        <x:v>SZ002</x:v>
      </x:c>
      <x:c r="B6" s="28" t="str">
        <x:v>初见 · 肖像体验</x:v>
      </x:c>
      <x:c r="C6" s="16" t="str">
        <x:v>写真</x:v>
      </x:c>
      <x:c r="D6" s="16" t="str">
        <x:v>人物美学</x:v>
      </x:c>
      <x:c r="E6" s="16" t="str">
        <x:v>获客入口</x:v>
      </x:c>
      <x:c r="F6" s="16" t="str">
        <x:v>第一次拍写真、想低门槛尝试新风格的人</x:v>
      </x:c>
      <x:c r="G6" s="16" t="str">
        <x:v>约500元</x:v>
      </x:c>
      <x:c r="H6" s="16" t="str">
        <x:v>499-699元</x:v>
      </x:c>
      <x:c r="I6" s="22" t="n">
        <x:v>699</x:v>
      </x:c>
      <x:c r="J6" s="16" t="str">
        <x:v>999元+</x:v>
      </x:c>
      <x:c r="K6" s="16" t="str">
        <x:v>测试阶段</x:v>
      </x:c>
      <x:c r="L6" s="57" t="str">
        <x:v>运营/妆造/摄影</x:v>
      </x:c>
      <x:c r="M6" s="57" t="str">
        <x:v>Kevin/萱萱</x:v>
      </x:c>
      <x:c r="N6" s="16" t="str">
        <x:v>简单沟通→单主题方案→基础妆造→单场景拍摄→选片→约7天交付</x:v>
      </x:c>
      <x:c r="O6" s="16" t="str">
        <x:v>精修5张、高清调色、1组Live Photo</x:v>
      </x:c>
      <x:c r="P6" s="16" t="str">
        <x:v>小红书/闲鱼</x:v>
      </x:c>
      <x:c r="Q6" s="16" t="str">
        <x:v>第一次写真、前后变化、体验招募</x:v>
      </x:c>
      <x:c r="R6" s="16" t="str">
        <x:v>中</x:v>
      </x:c>
      <x:c r="S6" s="16" t="str">
        <x:v>限量体验价用于冷启动和筛选客户</x:v>
      </x:c>
    </x:row>
    <x:row r="7">
      <x:c r="A7" s="25" t="str">
        <x:v>SZ001</x:v>
      </x:c>
      <x:c r="B7" s="28" t="str">
        <x:v>臻选 · 私人肖像</x:v>
      </x:c>
      <x:c r="C7" s="16" t="str">
        <x:v>写真</x:v>
      </x:c>
      <x:c r="D7" s="16" t="str">
        <x:v>人物美学</x:v>
      </x:c>
      <x:c r="E7" s="16" t="str">
        <x:v>主推成交</x:v>
      </x:c>
      <x:c r="F7" s="16" t="str">
        <x:v>想找到适合自己风格的个人、情侣、内容创作者</x:v>
      </x:c>
      <x:c r="G7" s="16" t="str">
        <x:v>约500元</x:v>
      </x:c>
      <x:c r="H7" s="16" t="str">
        <x:v>1299-1599元</x:v>
      </x:c>
      <x:c r="I7" s="22" t="n">
        <x:v>1599</x:v>
      </x:c>
      <x:c r="J7" s="16" t="str">
        <x:v>2999元+</x:v>
      </x:c>
      <x:c r="K7" s="16" t="str">
        <x:v>当前销售中</x:v>
      </x:c>
      <x:c r="L7" s="57" t="str">
        <x:v>运营/妆造/摄影</x:v>
      </x:c>
      <x:c r="M7" s="57" t="str">
        <x:v>Kevin/萱萱</x:v>
      </x:c>
      <x:c r="N7" s="16" t="str">
        <x:v>需求沟通→人物分析→方案设计→妆造约3小时→摄影约2小时→选片→约7天交付</x:v>
      </x:c>
      <x:c r="O7" s="16" t="str">
        <x:v>精修10张、高清调色、Live Photo/动态影像</x:v>
      </x:c>
      <x:c r="P7" s="16" t="str">
        <x:v>小红书/闲鱼/私域</x:v>
      </x:c>
      <x:c r="Q7" s="16" t="str">
        <x:v>人物变化、幕后过程、风格分析、情侣协作</x:v>
      </x:c>
      <x:c r="R7" s="16" t="str">
        <x:v>高</x:v>
      </x:c>
      <x:c r="S7" s="16" t="str">
        <x:v>品牌核心商品；特殊场地费用另计</x:v>
      </x:c>
    </x:row>
    <x:row r="8">
      <x:c r="A8" s="25" t="str">
        <x:v>SZ003</x:v>
      </x:c>
      <x:c r="B8" s="28" t="str">
        <x:v>华堂 · 人物企划</x:v>
      </x:c>
      <x:c r="C8" s="16" t="str">
        <x:v>写真</x:v>
      </x:c>
      <x:c r="D8" s="16" t="str">
        <x:v>人物创作</x:v>
      </x:c>
      <x:c r="E8" s="16" t="str">
        <x:v>品牌展示</x:v>
      </x:c>
      <x:c r="F8" s="16" t="str">
        <x:v>汉服、情侣、KOL、个人IP、重要纪念客户</x:v>
      </x:c>
      <x:c r="G8" s="16" t="str">
        <x:v>暂无标准价</x:v>
      </x:c>
      <x:c r="H8" s="16" t="str">
        <x:v>1999-2999元+</x:v>
      </x:c>
      <x:c r="I8" s="22" t="n">
        <x:v>2499</x:v>
      </x:c>
      <x:c r="J8" s="16" t="str">
        <x:v>3999元+</x:v>
      </x:c>
      <x:c r="K8" s="16" t="str">
        <x:v>测试阶段</x:v>
      </x:c>
      <x:c r="L8" s="57" t="str">
        <x:v>运营/妆造/摄影</x:v>
      </x:c>
      <x:c r="M8" s="57" t="str">
        <x:v>Kevin/萱萱</x:v>
      </x:c>
      <x:c r="N8" s="16" t="str">
        <x:v>深度沟通→主题与故事策划→多造型/多场景→摄影与动态素材→精修交付</x:v>
      </x:c>
      <x:c r="O8" s="16" t="str">
        <x:v>精修照片、Live Photo、短视频；AI衍生内容按需</x:v>
      </x:c>
      <x:c r="P8" s="16" t="str">
        <x:v>小红书/私域</x:v>
      </x:c>
      <x:c r="Q8" s="16" t="str">
        <x:v>东方人物创作、主题策划、完整幕后</x:v>
      </x:c>
      <x:c r="R8" s="16" t="str">
        <x:v>高</x:v>
      </x:c>
      <x:c r="S8" s="16" t="str">
        <x:v>服装与场地根据主题采购、租赁或合作</x:v>
      </x:c>
    </x:row>
    <x:row r="9">
      <x:c r="A9" s="25" t="str">
        <x:v>SZ005</x:v>
      </x:c>
      <x:c r="B9" s="28" t="str">
        <x:v>初见 · 新娘试妆</x:v>
      </x:c>
      <x:c r="C9" s="16" t="str">
        <x:v>婚礼</x:v>
      </x:c>
      <x:c r="D9" s="16" t="str">
        <x:v>试妆</x:v>
      </x:c>
      <x:c r="E9" s="16" t="str">
        <x:v>转化入口</x:v>
      </x:c>
      <x:c r="F9" s="16" t="str">
        <x:v>尚未确定化妆师、需要先验证风格的准新娘</x:v>
      </x:c>
      <x:c r="G9" s="16" t="str">
        <x:v>暂无标准价</x:v>
      </x:c>
      <x:c r="H9" s="16" t="str">
        <x:v>299-499元</x:v>
      </x:c>
      <x:c r="I9" s="22" t="n">
        <x:v>399</x:v>
      </x:c>
      <x:c r="J9" s="16" t="str">
        <x:v>699元</x:v>
      </x:c>
      <x:c r="K9" s="16" t="str">
        <x:v>测试阶段</x:v>
      </x:c>
      <x:c r="L9" s="57" t="str">
        <x:v>运营/妆造</x:v>
      </x:c>
      <x:c r="M9" s="57" t="str">
        <x:v>Kevin/萱萱</x:v>
      </x:c>
      <x:c r="N9" s="16" t="str">
        <x:v>婚礼信息沟通→面诊→试妆/试发→饰品与礼服建议→跟妆方案报价</x:v>
      </x:c>
      <x:c r="O9" s="16" t="str">
        <x:v>完整或局部试妆以预约说明为准</x:v>
      </x:c>
      <x:c r="P9" s="16" t="str">
        <x:v>小红书/闲鱼</x:v>
      </x:c>
      <x:c r="Q9" s="16" t="str">
        <x:v>试妆前后、选化妆师避坑、新娘沟通</x:v>
      </x:c>
      <x:c r="R9" s="16" t="str">
        <x:v>低</x:v>
      </x:c>
      <x:c r="S9" s="16" t="str">
        <x:v>成交正式跟妆后可考虑抵扣部分试妆费</x:v>
      </x:c>
    </x:row>
    <x:row r="10">
      <x:c r="A10" s="25" t="str">
        <x:v>SZ004</x:v>
      </x:c>
      <x:c r="B10" s="28" t="str">
        <x:v>新娘私人造型</x:v>
      </x:c>
      <x:c r="C10" s="16" t="str">
        <x:v>婚礼</x:v>
      </x:c>
      <x:c r="D10" s="16" t="str">
        <x:v>新娘妆造</x:v>
      </x:c>
      <x:c r="E10" s="16" t="str">
        <x:v>现金流</x:v>
      </x:c>
      <x:c r="F10" s="16" t="str">
        <x:v>成都本地准新娘，偏好新中式与一对一服务</x:v>
      </x:c>
      <x:c r="G10" s="16" t="str">
        <x:v>800-1500元</x:v>
      </x:c>
      <x:c r="H10" s="16" t="str">
        <x:v>1299-1999元</x:v>
      </x:c>
      <x:c r="I10" s="22" t="n">
        <x:v>1599</x:v>
      </x:c>
      <x:c r="J10" s="16" t="str">
        <x:v>2999元+</x:v>
      </x:c>
      <x:c r="K10" s="16" t="str">
        <x:v>当前销售中</x:v>
      </x:c>
      <x:c r="L10" s="57" t="str">
        <x:v>运营/妆造</x:v>
      </x:c>
      <x:c r="M10" s="57" t="str">
        <x:v>Kevin/萱萱</x:v>
      </x:c>
      <x:c r="N10" s="16" t="str">
        <x:v>婚礼需求沟通→服装与风格分析→造型方案→按套餐半天/全天执行→回访</x:v>
      </x:c>
      <x:c r="O10" s="16" t="str">
        <x:v>妆发、饰品搭配、礼服建议；造型数量按套餐</x:v>
      </x:c>
      <x:c r="P10" s="16" t="str">
        <x:v>小红书/闲鱼/私域</x:v>
      </x:c>
      <x:c r="Q10" s="16" t="str">
        <x:v>新娘变化、试妆避坑、婚礼造型设计</x:v>
      </x:c>
      <x:c r="R10" s="16" t="str">
        <x:v>中</x:v>
      </x:c>
      <x:c r="S10" s="16" t="str">
        <x:v>全天或多造型需在报价中写清</x:v>
      </x:c>
    </x:row>
    <x:row r="11">
      <x:c r="A11" s="25" t="str">
        <x:v>SZ006</x:v>
      </x:c>
      <x:c r="B11" s="28" t="str">
        <x:v>华堂 · 新中式婚礼造型</x:v>
      </x:c>
      <x:c r="C11" s="16" t="str">
        <x:v>婚礼</x:v>
      </x:c>
      <x:c r="D11" s="16" t="str">
        <x:v>新中式</x:v>
      </x:c>
      <x:c r="E11" s="16" t="str">
        <x:v>品牌特色</x:v>
      </x:c>
      <x:c r="F11" s="16" t="str">
        <x:v>秀禾、龙凤褂、明制及新中式婚礼新娘</x:v>
      </x:c>
      <x:c r="G11" s="16" t="str">
        <x:v>暂无标准价</x:v>
      </x:c>
      <x:c r="H11" s="16" t="str">
        <x:v>1999-2999元+</x:v>
      </x:c>
      <x:c r="I11" s="22" t="n">
        <x:v>2499</x:v>
      </x:c>
      <x:c r="J11" s="16" t="str">
        <x:v>3999元+</x:v>
      </x:c>
      <x:c r="K11" s="16" t="str">
        <x:v>测试阶段</x:v>
      </x:c>
      <x:c r="L11" s="57" t="str">
        <x:v>运营/妆造</x:v>
      </x:c>
      <x:c r="M11" s="57" t="str">
        <x:v>Kevin/萱萱</x:v>
      </x:c>
      <x:c r="N11" s="16" t="str">
        <x:v>婚礼视觉沟通→服装/头饰/妆面整体设计→试妆→婚礼当天多造型执行</x:v>
      </x:c>
      <x:c r="O11" s="16" t="str">
        <x:v>新中式妆发、饰品、礼服建议、全流程形象设计</x:v>
      </x:c>
      <x:c r="P11" s="16" t="str">
        <x:v>小红书/私域</x:v>
      </x:c>
      <x:c r="Q11" s="16" t="str">
        <x:v>新中式婚礼、头饰制作、东方新娘</x:v>
      </x:c>
      <x:c r="R11" s="16" t="str">
        <x:v>高</x:v>
      </x:c>
      <x:c r="S11" s="16" t="str">
        <x:v>拾妆华堂重点差异化方向</x:v>
      </x:c>
    </x:row>
    <x:row r="12">
      <x:c r="A12" s="25" t="str">
        <x:v>SZ011</x:v>
      </x:c>
      <x:c r="B12" s="28" t="str">
        <x:v>高级证件照升级</x:v>
      </x:c>
      <x:c r="C12" s="16" t="str">
        <x:v>形象服务</x:v>
      </x:c>
      <x:c r="D12" s="16" t="str">
        <x:v>证件照</x:v>
      </x:c>
      <x:c r="E12" s="16" t="str">
        <x:v>低门槛入口</x:v>
      </x:c>
      <x:c r="F12" s="16" t="str">
        <x:v>求职、考试、形象升级与附近即时需求人群</x:v>
      </x:c>
      <x:c r="G12" s="16" t="str">
        <x:v>已有成交，未统计</x:v>
      </x:c>
      <x:c r="H12" s="16" t="str">
        <x:v>199-399元</x:v>
      </x:c>
      <x:c r="I12" s="22" t="n">
        <x:v>299</x:v>
      </x:c>
      <x:c r="J12" s="16" t="str">
        <x:v>699元</x:v>
      </x:c>
      <x:c r="K12" s="16" t="str">
        <x:v>测试阶段</x:v>
      </x:c>
      <x:c r="L12" s="57" t="str">
        <x:v>运营/妆造/摄影</x:v>
      </x:c>
      <x:c r="M12" s="57" t="str">
        <x:v>Kevin/萱萱</x:v>
      </x:c>
      <x:c r="N12" s="16" t="str">
        <x:v>用途沟通→基础妆发→拍摄→精修→快速交付</x:v>
      </x:c>
      <x:c r="O12" s="16" t="str">
        <x:v>证件照妆造、拍摄、基础精修</x:v>
      </x:c>
      <x:c r="P12" s="16" t="str">
        <x:v>闲鱼/小红书</x:v>
      </x:c>
      <x:c r="Q12" s="16" t="str">
        <x:v>证件照前后变化、求职形象</x:v>
      </x:c>
      <x:c r="R12" s="16" t="str">
        <x:v>中</x:v>
      </x:c>
      <x:c r="S12" s="16" t="str">
        <x:v>需另行确认交付规格与证照合规要求</x:v>
      </x:c>
    </x:row>
    <x:row r="13">
      <x:c r="A13" s="25" t="str">
        <x:v>SZ007</x:v>
      </x:c>
      <x:c r="B13" s="28" t="str">
        <x:v>私人美妆体验课</x:v>
      </x:c>
      <x:c r="C13" s="16" t="str">
        <x:v>培训</x:v>
      </x:c>
      <x:c r="D13" s="16" t="str">
        <x:v>个人美妆</x:v>
      </x:c>
      <x:c r="E13" s="16" t="str">
        <x:v>课程引流</x:v>
      </x:c>
      <x:c r="F13" s="16" t="str">
        <x:v>零基础、想学适合自己妆容的普通用户</x:v>
      </x:c>
      <x:c r="G13" s="16" t="str">
        <x:v>60元/小时</x:v>
      </x:c>
      <x:c r="H13" s="16" t="str">
        <x:v>199-399元</x:v>
      </x:c>
      <x:c r="I13" s="22" t="n">
        <x:v>299</x:v>
      </x:c>
      <x:c r="J13" s="16" t="str">
        <x:v>699元</x:v>
      </x:c>
      <x:c r="K13" s="16" t="str">
        <x:v>测试阶段</x:v>
      </x:c>
      <x:c r="L13" s="57" t="str">
        <x:v>运营/教学</x:v>
      </x:c>
      <x:c r="M13" s="57" t="str">
        <x:v>Kevin/萱萱</x:v>
      </x:c>
      <x:c r="N13" s="16" t="str">
        <x:v>需求了解→五官/肤质分析→1对1示范与练习→问题纠正→课后建议</x:v>
      </x:c>
      <x:c r="O13" s="16" t="str">
        <x:v>2-3小时1对1；基础工具与妆容方法</x:v>
      </x:c>
      <x:c r="P13" s="16" t="str">
        <x:v>小红书/闲鱼/私域</x:v>
      </x:c>
      <x:c r="Q13" s="16" t="str">
        <x:v>素人学妆、前后变化、常见误区</x:v>
      </x:c>
      <x:c r="R13" s="16" t="str">
        <x:v>中</x:v>
      </x:c>
      <x:c r="S13" s="16" t="str">
        <x:v>先小规模验证，不急于开发大课</x:v>
      </x:c>
    </x:row>
    <x:row r="14">
      <x:c r="A14" s="25" t="str">
        <x:v>SZ008</x:v>
      </x:c>
      <x:c r="B14" s="28" t="str">
        <x:v>一对一化妆提升课</x:v>
      </x:c>
      <x:c r="C14" s="16" t="str">
        <x:v>培训</x:v>
      </x:c>
      <x:c r="D14" s="16" t="str">
        <x:v>个人提升</x:v>
      </x:c>
      <x:c r="E14" s="16" t="str">
        <x:v>利润测试</x:v>
      </x:c>
      <x:c r="F14" s="16" t="str">
        <x:v>已有基础、希望系统提升妆容与搭配的人</x:v>
      </x:c>
      <x:c r="G14" s="16" t="str">
        <x:v>60元/小时</x:v>
      </x:c>
      <x:c r="H14" s="16" t="str">
        <x:v>999-1999元</x:v>
      </x:c>
      <x:c r="I14" s="22" t="n">
        <x:v>1499</x:v>
      </x:c>
      <x:c r="J14" s="16" t="str">
        <x:v>3999元</x:v>
      </x:c>
      <x:c r="K14" s="16" t="str">
        <x:v>测试阶段</x:v>
      </x:c>
      <x:c r="L14" s="57" t="str">
        <x:v>运营/教学</x:v>
      </x:c>
      <x:c r="M14" s="57" t="str">
        <x:v>Kevin/萱萱</x:v>
      </x:c>
      <x:c r="N14" s="16" t="str">
        <x:v>能力评估→个性化学习计划→分模块教学→练习反馈→结课复盘</x:v>
      </x:c>
      <x:c r="O14" s="16" t="str">
        <x:v>妆面、色彩、眼妆、发型基础、饰品搭配</x:v>
      </x:c>
      <x:c r="P14" s="16" t="str">
        <x:v>小红书/私域</x:v>
      </x:c>
      <x:c r="Q14" s="16" t="str">
        <x:v>学员成长、技术拆解、萱萱专业内容</x:v>
      </x:c>
      <x:c r="R14" s="16" t="str">
        <x:v>中</x:v>
      </x:c>
      <x:c r="S14" s="16" t="str">
        <x:v>按结果和模块收费，不再按小时低价出售</x:v>
      </x:c>
    </x:row>
    <x:row r="15">
      <x:c r="A15" s="25" t="str">
        <x:v>SZ009</x:v>
      </x:c>
      <x:c r="B15" s="28" t="str">
        <x:v>新娘妆造培训</x:v>
      </x:c>
      <x:c r="C15" s="16" t="str">
        <x:v>培训</x:v>
      </x:c>
      <x:c r="D15" s="16" t="str">
        <x:v>职业技能</x:v>
      </x:c>
      <x:c r="E15" s="16" t="str">
        <x:v>长期产品</x:v>
      </x:c>
      <x:c r="F15" s="16" t="str">
        <x:v>想成为化妆师或提升新娘妆造能力的人</x:v>
      </x:c>
      <x:c r="G15" s="16" t="str">
        <x:v>60元/小时</x:v>
      </x:c>
      <x:c r="H15" s="16" t="str">
        <x:v>待验证</x:v>
      </x:c>
      <x:c r="I15" s="22" t="n">
        <x:v>0</x:v>
      </x:c>
      <x:c r="J15" s="16" t="str">
        <x:v>3000-8000元</x:v>
      </x:c>
      <x:c r="K15" s="16" t="str">
        <x:v>未来规划</x:v>
      </x:c>
      <x:c r="L15" s="57" t="str">
        <x:v>运营/教学</x:v>
      </x:c>
      <x:c r="M15" s="57" t="str">
        <x:v>Kevin/萱萱</x:v>
      </x:c>
      <x:c r="N15" s="16" t="str">
        <x:v>入学评估→课程计划→妆发与饰品训练→真人实操→作品与就业复盘</x:v>
      </x:c>
      <x:c r="O15" s="16" t="str">
        <x:v>课程大纲、练习、实操、作品沉淀</x:v>
      </x:c>
      <x:c r="P15" s="16" t="str">
        <x:v>小红书/私域</x:v>
      </x:c>
      <x:c r="Q15" s="16" t="str">
        <x:v>职业成长、新娘妆技术、真实订单实战</x:v>
      </x:c>
      <x:c r="R15" s="16" t="str">
        <x:v>高</x:v>
      </x:c>
      <x:c r="S15" s="16" t="str">
        <x:v>萱萱当前以技术型化妆师为主，课程后置</x:v>
      </x:c>
    </x:row>
    <x:row r="16">
      <x:c r="A16" s="25" t="str">
        <x:v>SZ012</x:v>
      </x:c>
      <x:c r="B16" s="28" t="str">
        <x:v>东方饰品 / 礼服租赁</x:v>
      </x:c>
      <x:c r="C16" s="16" t="str">
        <x:v>租赁</x:v>
      </x:c>
      <x:c r="D16" s="16" t="str">
        <x:v>服饰配件</x:v>
      </x:c>
      <x:c r="E16" s="16" t="str">
        <x:v>增购与资产</x:v>
      </x:c>
      <x:c r="F16" s="16" t="str">
        <x:v>写真客户、婚礼客户、摄影师、汉服爱好者</x:v>
      </x:c>
      <x:c r="G16" s="16" t="str">
        <x:v>已有成交，未统计</x:v>
      </x:c>
      <x:c r="H16" s="16" t="str">
        <x:v>单独报价</x:v>
      </x:c>
      <x:c r="I16" s="22" t="n">
        <x:v>0</x:v>
      </x:c>
      <x:c r="J16" s="16" t="str">
        <x:v>品牌化定价</x:v>
      </x:c>
      <x:c r="K16" s="16" t="str">
        <x:v>测试阶段</x:v>
      </x:c>
      <x:c r="L16" s="57" t="str">
        <x:v>运营/妆造/资产</x:v>
      </x:c>
      <x:c r="M16" s="57" t="str">
        <x:v>Kevin/萱萱</x:v>
      </x:c>
      <x:c r="N16" s="16" t="str">
        <x:v>需求确认→库存与档期→押金/租金→交付→归还验收</x:v>
      </x:c>
      <x:c r="O16" s="16" t="str">
        <x:v>汉服、礼服、发饰、新娘饰品及特色配件</x:v>
      </x:c>
      <x:c r="P16" s="16" t="str">
        <x:v>闲鱼/小红书/私域</x:v>
      </x:c>
      <x:c r="Q16" s="16" t="str">
        <x:v>饰品制作、东方衣橱、搭配案例</x:v>
      </x:c>
      <x:c r="R16" s="16" t="str">
        <x:v>低</x:v>
      </x:c>
      <x:c r="S16" s="16" t="str">
        <x:v>建立库存编号、押金和损坏规则后对外放量</x:v>
      </x:c>
    </x:row>
    <x:row r="17">
      <x:c r="A17" s="25" t="str">
        <x:v>SZ010</x:v>
      </x:c>
      <x:c r="B17" s="28" t="str">
        <x:v>一环自拍体验空间</x:v>
      </x:c>
      <x:c r="C17" s="16" t="str">
        <x:v>体验</x:v>
      </x:c>
      <x:c r="D17" s="16" t="str">
        <x:v>自拍馆</x:v>
      </x:c>
      <x:c r="E17" s="16" t="str">
        <x:v>流量入口</x:v>
      </x:c>
      <x:c r="F17" s="16" t="str">
        <x:v>附近学生、情侣、年轻用户及写真客户</x:v>
      </x:c>
      <x:c r="G17" s="16" t="str">
        <x:v>暂无</x:v>
      </x:c>
      <x:c r="H17" s="16" t="str">
        <x:v>99-299元</x:v>
      </x:c>
      <x:c r="I17" s="22" t="n">
        <x:v>199</x:v>
      </x:c>
      <x:c r="J17" s="16" t="str">
        <x:v>399元</x:v>
      </x:c>
      <x:c r="K17" s="16" t="str">
        <x:v>未来规划</x:v>
      </x:c>
      <x:c r="L17" s="57" t="str">
        <x:v>运营/设备</x:v>
      </x:c>
      <x:c r="M17" s="57" t="str">
        <x:v>Kevin</x:v>
      </x:c>
      <x:c r="N17" s="16" t="str">
        <x:v>预约→设备说明→专业相机自动拍摄→现场选片/导出→写真服务推荐</x:v>
      </x:c>
      <x:c r="O17" s="16" t="str">
        <x:v>自拍空间、灯光与基础道具；增值内容按需</x:v>
      </x:c>
      <x:c r="P17" s="16" t="str">
        <x:v>闲鱼/小红书/私域</x:v>
      </x:c>
      <x:c r="Q17" s="16" t="str">
        <x:v>40㎡空间改造、自拍体验、情侣打卡</x:v>
      </x:c>
      <x:c r="R17" s="16" t="str">
        <x:v>高</x:v>
      </x:c>
      <x:c r="S17" s="16" t="str">
        <x:v>先作为工作室增值项目，再验证独立商业模型</x:v>
      </x:c>
    </x:row>
    <x:row r="18">
      <x:c r="A18" s="26" t="str">
        <x:v>SZ013</x:v>
      </x:c>
      <x:c r="B18" s="29" t="str">
        <x:v>AI美学助手</x:v>
      </x:c>
      <x:c r="C18" s="17" t="str">
        <x:v>数字产品</x:v>
      </x:c>
      <x:c r="D18" s="17" t="str">
        <x:v>AI工具</x:v>
      </x:c>
      <x:c r="E18" s="17" t="str">
        <x:v>未来产品</x:v>
      </x:c>
      <x:c r="F18" s="17" t="str">
        <x:v>妆造摄影从业者及个人形象用户</x:v>
      </x:c>
      <x:c r="G18" s="17" t="str">
        <x:v>暂无</x:v>
      </x:c>
      <x:c r="H18" s="17" t="str">
        <x:v>待研发</x:v>
      </x:c>
      <x:c r="I18" s="23" t="n">
        <x:v>0</x:v>
      </x:c>
      <x:c r="J18" s="17" t="str">
        <x:v>待验证</x:v>
      </x:c>
      <x:c r="K18" s="17" t="str">
        <x:v>未来规划</x:v>
      </x:c>
      <x:c r="L18" s="58" t="str">
        <x:v>产品/运营/妆造</x:v>
      </x:c>
      <x:c r="M18" s="58" t="str">
        <x:v>Kevin/萱萱</x:v>
      </x:c>
      <x:c r="N18" s="17" t="str">
        <x:v>照片与需求输入→AI初步分析→人工审核→妆造/服装/拍摄建议→服务推荐</x:v>
      </x:c>
      <x:c r="O18" s="17" t="str">
        <x:v>风格、妆容、发型、服装与拍摄建议</x:v>
      </x:c>
      <x:c r="P18" s="17" t="str">
        <x:v>CATmaker/小红书/私域</x:v>
      </x:c>
      <x:c r="Q18" s="17" t="str">
        <x:v>AI风格分析、真实案例验证、工具研发过程</x:v>
      </x:c>
      <x:c r="R18" s="17" t="str">
        <x:v>高</x:v>
      </x:c>
      <x:c r="S18" s="17" t="str">
        <x:v>先服务美学行业，拾妆华堂作为首个验证场景</x:v>
      </x:c>
    </x:row>
  </x:sheetData>
  <x:conditionalFormatting sqref="K2:K18">
    <x:cfRule type="containsText" dxfId="0" priority="1" operator="containsText" text="销售中"/>
    <x:cfRule type="containsText" dxfId="1" priority="2" operator="containsText" text="测试"/>
    <x:cfRule type="containsText" dxfId="2" priority="3" operator="containsText" text="规划"/>
    <x:cfRule type="containsText" dxfId="3" priority="4" operator="containsText" text="停用"/>
  </x:conditionalFormatting>
  <x:dataValidations count="2">
    <x:dataValidation type="list" sqref="K2:K18">
      <x:formula1>"当前销售中,测试阶段,未来规划,暂停/停用"</x:formula1>
    </x:dataValidation>
    <x:dataValidation type="list" sqref="C2:C18">
      <x:formula1>"写真,婚礼,妆造,培训,体验,形象服务,租赁,数字产品"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9a0ef95ace46c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18" hidden="0" customWidth="1"/>
    <x:col min="5" max="5" width="10" hidden="0" customWidth="1"/>
    <x:col min="6" max="6" width="13" hidden="0" customWidth="1"/>
    <x:col min="7" max="7" width="12" hidden="0" customWidth="1"/>
    <x:col min="8" max="8" width="26" hidden="0" customWidth="1"/>
    <x:col min="9" max="9" width="20" hidden="0" customWidth="1"/>
    <x:col min="10" max="10" width="12" hidden="0" customWidth="1"/>
    <x:col min="11" max="11" width="22" hidden="0" customWidth="1"/>
    <x:col min="12" max="12" width="12" hidden="0" customWidth="1"/>
    <x:col min="13" max="13" width="13" hidden="0" customWidth="1"/>
    <x:col min="14" max="14" width="22" hidden="0" customWidth="1"/>
    <x:col min="15" max="15" width="12" hidden="0" customWidth="1"/>
    <x:col min="16" max="16" width="13" hidden="0" customWidth="1"/>
    <x:col min="17" max="17" width="14" hidden="0" customWidth="1"/>
    <x:col min="18" max="18" width="15" hidden="0" customWidth="1"/>
    <x:col min="19" max="19" width="15" hidden="0" customWidth="1"/>
    <x:col min="20" max="20" width="28" hidden="0" customWidth="1"/>
  </x:cols>
  <x:sheetData>
    <x:row r="1" ht="34" customHeight="1">
      <x:c r="A1" s="7" t="str">
        <x:v>客户编号</x:v>
      </x:c>
      <x:c r="B1" s="7" t="str">
        <x:v>首次联系日期</x:v>
      </x:c>
      <x:c r="C1" s="7" t="str">
        <x:v>客户姓名/昵称</x:v>
      </x:c>
      <x:c r="D1" s="7" t="str">
        <x:v>联系方式</x:v>
      </x:c>
      <x:c r="E1" s="7" t="str">
        <x:v>年龄段</x:v>
      </x:c>
      <x:c r="F1" s="7" t="str">
        <x:v>来源平台</x:v>
      </x:c>
      <x:c r="G1" s="7" t="str">
        <x:v>需求类型</x:v>
      </x:c>
      <x:c r="H1" s="7" t="str">
        <x:v>核心需求</x:v>
      </x:c>
      <x:c r="I1" s="7" t="str">
        <x:v>偏好风格</x:v>
      </x:c>
      <x:c r="J1" s="7" t="str">
        <x:v>预算</x:v>
      </x:c>
      <x:c r="K1" s="7" t="str">
        <x:v>推荐商品</x:v>
      </x:c>
      <x:c r="L1" s="7" t="str">
        <x:v>报价</x:v>
      </x:c>
      <x:c r="M1" s="7" t="str">
        <x:v>当前阶段</x:v>
      </x:c>
      <x:c r="N1" s="7" t="str">
        <x:v>未成交原因</x:v>
      </x:c>
      <x:c r="O1" s="7" t="str">
        <x:v>是否复购</x:v>
      </x:c>
      <x:c r="P1" s="7" t="str">
        <x:v>是否转介绍</x:v>
      </x:c>
      <x:c r="Q1" s="7" t="str">
        <x:v>下次跟进日期</x:v>
      </x:c>
      <x:c r="R1" s="7" t="str">
        <x:v>运营负责人</x:v>
      </x:c>
      <x:c r="S1" s="7" t="str">
        <x:v>专业负责人</x:v>
      </x:c>
      <x:c r="T1" s="7" t="str">
        <x:v>备注</x:v>
      </x:c>
    </x:row>
    <x:row r="2">
      <x:c r="A2" s="40" t="str">
        <x:v>示例-请删除</x:v>
      </x:c>
      <x:c r="B2" s="41" t="n">
        <x:v>46217</x:v>
      </x:c>
      <x:c r="C2" s="40" t="str">
        <x:v>张女士</x:v>
      </x:c>
      <x:c r="D2" s="40" t="str">
        <x:v>微信：待填写</x:v>
      </x:c>
      <x:c r="E2" s="40" t="str">
        <x:v>25-35</x:v>
      </x:c>
      <x:c r="F2" s="40" t="str">
        <x:v>小红书</x:v>
      </x:c>
      <x:c r="G2" s="40" t="str">
        <x:v>写真</x:v>
      </x:c>
      <x:c r="H2" s="40" t="str">
        <x:v>想找到适合自己的风格</x:v>
      </x:c>
      <x:c r="I2" s="40" t="str">
        <x:v>东方/高级自然</x:v>
      </x:c>
      <x:c r="J2" s="42" t="n">
        <x:v>1500</x:v>
      </x:c>
      <x:c r="K2" s="40" t="str">
        <x:v>臻选 · 私人肖像</x:v>
      </x:c>
      <x:c r="L2" s="42" t="n">
        <x:v>1599</x:v>
      </x:c>
      <x:c r="M2" s="40" t="str">
        <x:v>已报价</x:v>
      </x:c>
      <x:c r="N2" s="40" t="str"/>
      <x:c r="O2" s="43" t="b">
        <x:v>0</x:v>
      </x:c>
      <x:c r="P2" s="43" t="b">
        <x:v>0</x:v>
      </x:c>
      <x:c r="Q2" s="41" t="n">
        <x:v>46220</x:v>
      </x:c>
      <x:c r="R2" s="40" t="str">
        <x:v>Kevin</x:v>
      </x:c>
      <x:c r="S2" s="40" t="str">
        <x:v>萱萱</x:v>
      </x:c>
      <x:c r="T2" s="40" t="str">
        <x:v>示例行；录入真实客户后删除</x:v>
      </x:c>
    </x:row>
  </x:sheetData>
  <x:conditionalFormatting sqref="M2:M2">
    <x:cfRule type="containsText" dxfId="4" priority="1" operator="containsText" text="销售中"/>
    <x:cfRule type="containsText" dxfId="5" priority="2" operator="containsText" text="测试"/>
    <x:cfRule type="containsText" dxfId="6" priority="3" operator="containsText" text="规划"/>
    <x:cfRule type="containsText" dxfId="7" priority="4" operator="containsText" text="停用"/>
  </x:conditionalFormatting>
  <x:dataValidations count="4">
    <x:dataValidation type="list" sqref="F2">
      <x:formula1>"小红书,闲鱼,微信私域,熟人介绍,美团/点评,抖音,淘宝,其他"</x:formula1>
    </x:dataValidation>
    <x:dataValidation type="list" sqref="G2">
      <x:formula1>"写真,新娘,培训,自拍,证件照,租赁,商业合作,其他"</x:formula1>
    </x:dataValidation>
    <x:dataValidation type="list" sqref="M2">
      <x:formula1>"新线索,需求沟通,待专业分析,已报价,已预约,已成交,已交付,未成交,待回访"</x:formula1>
    </x:dataValidation>
    <x:dataValidation type="list" sqref="O2:P2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dffbf8841e4c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22" hidden="0" customWidth="1"/>
    <x:col min="5" max="5" width="22" hidden="0" customWidth="1"/>
    <x:col min="6" max="6" width="22" hidden="0" customWidth="1"/>
    <x:col min="7" max="7" width="34" hidden="0" customWidth="1"/>
    <x:col min="8" max="8" width="28" hidden="0" customWidth="1"/>
    <x:col min="9" max="9" width="28" hidden="0" customWidth="1"/>
    <x:col min="10" max="10" width="20" hidden="0" customWidth="1"/>
    <x:col min="11" max="11" width="34" hidden="0" customWidth="1"/>
    <x:col min="12" max="12" width="14" hidden="0" customWidth="1"/>
    <x:col min="13" max="13" width="13" hidden="0" customWidth="1"/>
    <x:col min="14" max="14" width="18" hidden="0" customWidth="1"/>
    <x:col min="15" max="15" width="22" hidden="0" customWidth="1"/>
    <x:col min="16" max="16" width="13" hidden="0" customWidth="1"/>
    <x:col min="17" max="17" width="28" hidden="0" customWidth="1"/>
    <x:col min="18" max="18" width="24" hidden="0" customWidth="1"/>
    <x:col min="19" max="19" width="32" hidden="0" customWidth="1"/>
    <x:col min="20" max="20" width="15" hidden="0" customWidth="1"/>
    <x:col min="21" max="21" width="15" hidden="0" customWidth="1"/>
    <x:col min="22" max="22" width="28" hidden="0" customWidth="1"/>
  </x:cols>
  <x:sheetData>
    <x:row r="1" ht="34" customHeight="1">
      <x:c r="A1" s="7" t="str">
        <x:v>案例编号</x:v>
      </x:c>
      <x:c r="B1" s="7" t="str">
        <x:v>客户编号</x:v>
      </x:c>
      <x:c r="C1" s="7" t="str">
        <x:v>项目类型</x:v>
      </x:c>
      <x:c r="D1" s="7" t="str">
        <x:v>案例名称</x:v>
      </x:c>
      <x:c r="E1" s="7" t="str">
        <x:v>人物/婚礼背景</x:v>
      </x:c>
      <x:c r="F1" s="7" t="str">
        <x:v>原始困扰</x:v>
      </x:c>
      <x:c r="G1" s="7" t="str">
        <x:v>设计思路</x:v>
      </x:c>
      <x:c r="H1" s="7" t="str">
        <x:v>妆造要点</x:v>
      </x:c>
      <x:c r="I1" s="7" t="str">
        <x:v>摄影要点</x:v>
      </x:c>
      <x:c r="J1" s="7" t="str">
        <x:v>风格标签</x:v>
      </x:c>
      <x:c r="K1" s="7" t="str">
        <x:v>素材路径</x:v>
      </x:c>
      <x:c r="L1" s="7" t="str">
        <x:v>是否有过程素材</x:v>
      </x:c>
      <x:c r="M1" s="7" t="str">
        <x:v>是否已授权</x:v>
      </x:c>
      <x:c r="N1" s="7" t="str">
        <x:v>适合平台</x:v>
      </x:c>
      <x:c r="O1" s="7" t="str">
        <x:v>对应商品</x:v>
      </x:c>
      <x:c r="P1" s="7" t="str">
        <x:v>发布状态</x:v>
      </x:c>
      <x:c r="Q1" s="7" t="str">
        <x:v>小红书/内容链接</x:v>
      </x:c>
      <x:c r="R1" s="7" t="str">
        <x:v>客户反馈</x:v>
      </x:c>
      <x:c r="S1" s="7" t="str">
        <x:v>可宣传卖点</x:v>
      </x:c>
      <x:c r="T1" s="7" t="str">
        <x:v>运营负责人</x:v>
      </x:c>
      <x:c r="U1" s="7" t="str">
        <x:v>专业负责人</x:v>
      </x:c>
      <x:c r="V1" s="7" t="str">
        <x:v>备注</x:v>
      </x:c>
    </x:row>
    <x:row r="2">
      <x:c r="A2" s="40" t="str">
        <x:v>示例-请删除</x:v>
      </x:c>
      <x:c r="B2" s="40" t="str">
        <x:v>示例-请删除</x:v>
      </x:c>
      <x:c r="C2" s="40" t="str">
        <x:v>写真</x:v>
      </x:c>
      <x:c r="D2" s="40" t="str">
        <x:v>东方清冷人物案例</x:v>
      </x:c>
      <x:c r="E2" s="40" t="str">
        <x:v>首次尝试东方肖像</x:v>
      </x:c>
      <x:c r="F2" s="40" t="str">
        <x:v>担心不上镜</x:v>
      </x:c>
      <x:c r="G2" s="40" t="str">
        <x:v>保留人物气质，以清冷东方线条为主</x:v>
      </x:c>
      <x:c r="H2" s="40" t="str">
        <x:v>弱化模板感，突出眉眼与发饰</x:v>
      </x:c>
      <x:c r="I2" s="40" t="str">
        <x:v>柔和侧光与简洁构图</x:v>
      </x:c>
      <x:c r="J2" s="40" t="str">
        <x:v>东方/清冷/自然</x:v>
      </x:c>
      <x:c r="K2" s="40" t="str">
        <x:v>NAS/拾妆华堂/客户案例/示例</x:v>
      </x:c>
      <x:c r="L2" s="43" t="b">
        <x:v>1</x:v>
      </x:c>
      <x:c r="M2" s="43" t="b">
        <x:v>0</x:v>
      </x:c>
      <x:c r="N2" s="40" t="str">
        <x:v>小红书</x:v>
      </x:c>
      <x:c r="O2" s="40" t="str">
        <x:v>臻选 · 私人肖像</x:v>
      </x:c>
      <x:c r="P2" s="40" t="str">
        <x:v>待整理</x:v>
      </x:c>
      <x:c r="Q2" s="40" t="str"/>
      <x:c r="R2" s="40" t="str">
        <x:v>待回访</x:v>
      </x:c>
      <x:c r="S2" s="40" t="str">
        <x:v>从‘不上镜’到找到适合自己的风格</x:v>
      </x:c>
      <x:c r="T2" s="40" t="str">
        <x:v>Kevin</x:v>
      </x:c>
      <x:c r="U2" s="40" t="str">
        <x:v>萱萱</x:v>
      </x:c>
      <x:c r="V2" s="40" t="str">
        <x:v>示例行；需确认客户授权后发布</x:v>
      </x:c>
    </x:row>
  </x:sheetData>
  <x:conditionalFormatting sqref="P2:P2">
    <x:cfRule type="containsText" dxfId="8" priority="1" operator="containsText" text="销售中"/>
    <x:cfRule type="containsText" dxfId="9" priority="2" operator="containsText" text="测试"/>
    <x:cfRule type="containsText" dxfId="10" priority="3" operator="containsText" text="规划"/>
    <x:cfRule type="containsText" dxfId="11" priority="4" operator="containsText" text="停用"/>
  </x:conditionalFormatting>
  <x:dataValidations count="3">
    <x:dataValidation type="list" sqref="C2">
      <x:formula1>"写真,新娘,培训,自拍,证件照,租赁,商业合作,其他"</x:formula1>
    </x:dataValidation>
    <x:dataValidation type="list" sqref="L2:M2">
      <x:formula1>"true,false"</x:formula1>
    </x:dataValidation>
    <x:dataValidation type="list" sqref="P2">
      <x:formula1>"待整理,待授权,待发布,已发布,暂不使用"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33133b19cc48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15" hidden="0" customWidth="1"/>
    <x:col min="4" max="4" width="16" hidden="0" customWidth="1"/>
    <x:col min="5" max="5" width="16" hidden="0" customWidth="1"/>
    <x:col min="6" max="6" width="22" hidden="0" customWidth="1"/>
    <x:col min="7" max="7" width="22" hidden="0" customWidth="1"/>
    <x:col min="8" max="8" width="30" hidden="0" customWidth="1"/>
    <x:col min="9" max="9" width="34" hidden="0" customWidth="1"/>
    <x:col min="10" max="10" width="28" hidden="0" customWidth="1"/>
    <x:col min="11" max="11" width="13" hidden="0" customWidth="1"/>
    <x:col min="12" max="12" width="14" hidden="0" customWidth="1"/>
    <x:col min="13" max="13" width="14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2" hidden="0" customWidth="1"/>
    <x:col min="19" max="19" width="12" hidden="0" customWidth="1"/>
    <x:col min="20" max="20" width="14" hidden="0" customWidth="1"/>
    <x:col min="21" max="21" width="32" hidden="0" customWidth="1"/>
    <x:col min="22" max="22" width="15" hidden="0" customWidth="1"/>
    <x:col min="23" max="23" width="20" hidden="0" customWidth="1"/>
    <x:col min="24" max="24" width="24" hidden="0" customWidth="1"/>
  </x:cols>
  <x:sheetData>
    <x:row r="1" ht="34" customHeight="1">
      <x:c r="A1" s="7" t="str">
        <x:v>内容编号</x:v>
      </x:c>
      <x:c r="B1" s="7" t="str">
        <x:v>标题/选题</x:v>
      </x:c>
      <x:c r="C1" s="7" t="str">
        <x:v>内容栏目</x:v>
      </x:c>
      <x:c r="D1" s="7" t="str">
        <x:v>内容形式</x:v>
      </x:c>
      <x:c r="E1" s="7" t="str">
        <x:v>目标平台</x:v>
      </x:c>
      <x:c r="F1" s="7" t="str">
        <x:v>对应商品</x:v>
      </x:c>
      <x:c r="G1" s="7" t="str">
        <x:v>目标人群</x:v>
      </x:c>
      <x:c r="H1" s="7" t="str">
        <x:v>核心钩子</x:v>
      </x:c>
      <x:c r="I1" s="7" t="str">
        <x:v>素材需求</x:v>
      </x:c>
      <x:c r="J1" s="7" t="str">
        <x:v>素材路径</x:v>
      </x:c>
      <x:c r="K1" s="7" t="str">
        <x:v>内容状态</x:v>
      </x:c>
      <x:c r="L1" s="7" t="str">
        <x:v>计划发布日期</x:v>
      </x:c>
      <x:c r="M1" s="7" t="str">
        <x:v>实际发布日期</x:v>
      </x:c>
      <x:c r="N1" s="7" t="str">
        <x:v>曝光</x:v>
      </x:c>
      <x:c r="O1" s="7" t="str">
        <x:v>点赞</x:v>
      </x:c>
      <x:c r="P1" s="7" t="str">
        <x:v>收藏</x:v>
      </x:c>
      <x:c r="Q1" s="7" t="str">
        <x:v>评论</x:v>
      </x:c>
      <x:c r="R1" s="7" t="str">
        <x:v>私信咨询</x:v>
      </x:c>
      <x:c r="S1" s="7" t="str">
        <x:v>成交订单</x:v>
      </x:c>
      <x:c r="T1" s="7" t="str">
        <x:v>成交金额</x:v>
      </x:c>
      <x:c r="U1" s="7" t="str">
        <x:v>复盘结论</x:v>
      </x:c>
      <x:c r="V1" s="7" t="str">
        <x:v>运营负责人</x:v>
      </x:c>
      <x:c r="W1" s="7" t="str">
        <x:v>出镜/专业负责人</x:v>
      </x:c>
      <x:c r="X1" s="7" t="str">
        <x:v>备注</x:v>
      </x:c>
    </x:row>
    <x:row r="2">
      <x:c r="A2" s="15" t="str">
        <x:v>CT001</x:v>
      </x:c>
      <x:c r="B2" s="15" t="str">
        <x:v>为什么叫拾妆华堂？3+7组成我们的‘拾’</x:v>
      </x:c>
      <x:c r="C2" s="15" t="str">
        <x:v>情侣创业</x:v>
      </x:c>
      <x:c r="D2" s="15" t="str">
        <x:v>短视频/图文</x:v>
      </x:c>
      <x:c r="E2" s="15" t="str">
        <x:v>小红书</x:v>
      </x:c>
      <x:c r="F2" s="15" t="str">
        <x:v>品牌故事</x:v>
      </x:c>
      <x:c r="G2" s="15" t="str">
        <x:v>本地年轻用户/潜在客户</x:v>
      </x:c>
      <x:c r="H2" s="15" t="str">
        <x:v>情侣共同创业与名字背后的关系</x:v>
      </x:c>
      <x:c r="I2" s="15" t="str">
        <x:v>两人出镜、Logo、空间镜头</x:v>
      </x:c>
      <x:c r="J2" s="15" t="str">
        <x:v>待整理</x:v>
      </x:c>
      <x:c r="K2" s="15" t="str">
        <x:v>待制作</x:v>
      </x:c>
      <x:c r="L2" s="44"/>
      <x:c r="M2" s="44"/>
      <x:c r="N2" s="47" t="n">
        <x:v>0</x:v>
      </x:c>
      <x:c r="O2" s="47" t="n">
        <x:v>0</x:v>
      </x:c>
      <x:c r="P2" s="47" t="n">
        <x:v>0</x:v>
      </x:c>
      <x:c r="Q2" s="47" t="n">
        <x:v>0</x:v>
      </x:c>
      <x:c r="R2" s="47" t="n">
        <x:v>0</x:v>
      </x:c>
      <x:c r="S2" s="47" t="n">
        <x:v>0</x:v>
      </x:c>
      <x:c r="T2" s="18" t="n">
        <x:v>0</x:v>
      </x:c>
      <x:c r="U2" s="15" t="str"/>
      <x:c r="V2" s="56" t="str">
        <x:v>Kevin</x:v>
      </x:c>
      <x:c r="W2" s="56" t="str">
        <x:v>Kevin/萱萱</x:v>
      </x:c>
      <x:c r="X2" s="15" t="str">
        <x:v>冷启动首批内容</x:v>
      </x:c>
    </x:row>
    <x:row r="3">
      <x:c r="A3" s="16" t="str">
        <x:v>CT002</x:v>
      </x:c>
      <x:c r="B3" s="16" t="str">
        <x:v>40㎡老写字楼，怎么变成我们的妆造空间</x:v>
      </x:c>
      <x:c r="C3" s="16" t="str">
        <x:v>空间改造</x:v>
      </x:c>
      <x:c r="D3" s="16" t="str">
        <x:v>短视频</x:v>
      </x:c>
      <x:c r="E3" s="16" t="str">
        <x:v>小红书</x:v>
      </x:c>
      <x:c r="F3" s="16" t="str">
        <x:v>一环自拍体验空间</x:v>
      </x:c>
      <x:c r="G3" s="16" t="str">
        <x:v>成都本地用户</x:v>
      </x:c>
      <x:c r="H3" s="16" t="str">
        <x:v>小空间改造与真实创业过程</x:v>
      </x:c>
      <x:c r="I3" s="16" t="str">
        <x:v>改造前后、手作区、妆造区</x:v>
      </x:c>
      <x:c r="J3" s="16" t="str">
        <x:v>待整理</x:v>
      </x:c>
      <x:c r="K3" s="16" t="str">
        <x:v>待制作</x:v>
      </x:c>
      <x:c r="L3" s="45"/>
      <x:c r="M3" s="45"/>
      <x:c r="N3" s="48" t="n">
        <x:v>0</x:v>
      </x:c>
      <x:c r="O3" s="48" t="n">
        <x:v>0</x:v>
      </x:c>
      <x:c r="P3" s="48" t="n">
        <x:v>0</x:v>
      </x:c>
      <x:c r="Q3" s="48" t="n">
        <x:v>0</x:v>
      </x:c>
      <x:c r="R3" s="48" t="n">
        <x:v>0</x:v>
      </x:c>
      <x:c r="S3" s="48" t="n">
        <x:v>0</x:v>
      </x:c>
      <x:c r="T3" s="19" t="n">
        <x:v>0</x:v>
      </x:c>
      <x:c r="U3" s="16" t="str"/>
      <x:c r="V3" s="57" t="str">
        <x:v>Kevin</x:v>
      </x:c>
      <x:c r="W3" s="57" t="str">
        <x:v>Kevin/萱萱</x:v>
      </x:c>
      <x:c r="X3" s="16" t="str">
        <x:v>突出一环、私人预约、小而精</x:v>
      </x:c>
    </x:row>
    <x:row r="4">
      <x:c r="A4" s="16" t="str">
        <x:v>CT003</x:v>
      </x:c>
      <x:c r="B4" s="16" t="str">
        <x:v>她一直觉得自己不上镜，我们帮她找到适合的风格</x:v>
      </x:c>
      <x:c r="C4" s="16" t="str">
        <x:v>客户案例</x:v>
      </x:c>
      <x:c r="D4" s="16" t="str">
        <x:v>短视频/图文</x:v>
      </x:c>
      <x:c r="E4" s="16" t="str">
        <x:v>小红书</x:v>
      </x:c>
      <x:c r="F4" s="16" t="str">
        <x:v>臻选 · 私人肖像</x:v>
      </x:c>
      <x:c r="G4" s="16" t="str">
        <x:v>写真潜客</x:v>
      </x:c>
      <x:c r="H4" s="16" t="str">
        <x:v>从困扰到风格被发现的变化</x:v>
      </x:c>
      <x:c r="I4" s="16" t="str">
        <x:v>客户授权、妆前/过程/成片</x:v>
      </x:c>
      <x:c r="J4" s="16" t="str">
        <x:v>待整理</x:v>
      </x:c>
      <x:c r="K4" s="16" t="str">
        <x:v>待制作</x:v>
      </x:c>
      <x:c r="L4" s="45"/>
      <x:c r="M4" s="45"/>
      <x:c r="N4" s="48" t="n">
        <x:v>0</x:v>
      </x:c>
      <x:c r="O4" s="48" t="n">
        <x:v>0</x:v>
      </x:c>
      <x:c r="P4" s="48" t="n">
        <x:v>0</x:v>
      </x:c>
      <x:c r="Q4" s="48" t="n">
        <x:v>0</x:v>
      </x:c>
      <x:c r="R4" s="48" t="n">
        <x:v>0</x:v>
      </x:c>
      <x:c r="S4" s="48" t="n">
        <x:v>0</x:v>
      </x:c>
      <x:c r="T4" s="19" t="n">
        <x:v>0</x:v>
      </x:c>
      <x:c r="U4" s="16" t="str"/>
      <x:c r="V4" s="57" t="str">
        <x:v>Kevin</x:v>
      </x:c>
      <x:c r="W4" s="57" t="str">
        <x:v>萱萱/客户</x:v>
      </x:c>
      <x:c r="X4" s="16" t="str">
        <x:v>核心转化内容模板</x:v>
      </x:c>
    </x:row>
    <x:row r="5">
      <x:c r="A5" s="16" t="str">
        <x:v>CT004</x:v>
      </x:c>
      <x:c r="B5" s="16" t="str">
        <x:v>第一次拍写真，不知道适合什么风格怎么办？</x:v>
      </x:c>
      <x:c r="C5" s="16" t="str">
        <x:v>专业知识</x:v>
      </x:c>
      <x:c r="D5" s="16" t="str">
        <x:v>口播/图文</x:v>
      </x:c>
      <x:c r="E5" s="16" t="str">
        <x:v>小红书</x:v>
      </x:c>
      <x:c r="F5" s="16" t="str">
        <x:v>初见 · 肖像体验</x:v>
      </x:c>
      <x:c r="G5" s="16" t="str">
        <x:v>第一次写真用户</x:v>
      </x:c>
      <x:c r="H5" s="16" t="str">
        <x:v>降低决策焦虑</x:v>
      </x:c>
      <x:c r="I5" s="16" t="str">
        <x:v>萱萱分析镜头、参考案例</x:v>
      </x:c>
      <x:c r="J5" s="16" t="str">
        <x:v>待整理</x:v>
      </x:c>
      <x:c r="K5" s="16" t="str">
        <x:v>待制作</x:v>
      </x:c>
      <x:c r="L5" s="45"/>
      <x:c r="M5" s="45"/>
      <x:c r="N5" s="48" t="n">
        <x:v>0</x:v>
      </x:c>
      <x:c r="O5" s="48" t="n">
        <x:v>0</x:v>
      </x:c>
      <x:c r="P5" s="48" t="n">
        <x:v>0</x:v>
      </x:c>
      <x:c r="Q5" s="48" t="n">
        <x:v>0</x:v>
      </x:c>
      <x:c r="R5" s="48" t="n">
        <x:v>0</x:v>
      </x:c>
      <x:c r="S5" s="48" t="n">
        <x:v>0</x:v>
      </x:c>
      <x:c r="T5" s="19" t="n">
        <x:v>0</x:v>
      </x:c>
      <x:c r="U5" s="16" t="str"/>
      <x:c r="V5" s="57" t="str">
        <x:v>Kevin</x:v>
      </x:c>
      <x:c r="W5" s="57" t="str">
        <x:v>萱萱</x:v>
      </x:c>
      <x:c r="X5" s="16" t="str">
        <x:v>可引导限量体验名额</x:v>
      </x:c>
    </x:row>
    <x:row r="6">
      <x:c r="A6" s="16" t="str">
        <x:v>CT005</x:v>
      </x:c>
      <x:c r="B6" s="16" t="str">
        <x:v>一个摄影师和化妆师如何完成同一套人物作品</x:v>
      </x:c>
      <x:c r="C6" s="16" t="str">
        <x:v>情侣创业</x:v>
      </x:c>
      <x:c r="D6" s="16" t="str">
        <x:v>短视频</x:v>
      </x:c>
      <x:c r="E6" s="16" t="str">
        <x:v>小红书</x:v>
      </x:c>
      <x:c r="F6" s="16" t="str">
        <x:v>臻选 · 私人肖像</x:v>
      </x:c>
      <x:c r="G6" s="16" t="str">
        <x:v>审美型潜客</x:v>
      </x:c>
      <x:c r="H6" s="16" t="str">
        <x:v>情侣分工与完整服务体验</x:v>
      </x:c>
      <x:c r="I6" s="16" t="str">
        <x:v>沟通、妆造、拍摄、复盘</x:v>
      </x:c>
      <x:c r="J6" s="16" t="str">
        <x:v>待整理</x:v>
      </x:c>
      <x:c r="K6" s="16" t="str">
        <x:v>待制作</x:v>
      </x:c>
      <x:c r="L6" s="45"/>
      <x:c r="M6" s="45"/>
      <x:c r="N6" s="48" t="n">
        <x:v>0</x:v>
      </x:c>
      <x:c r="O6" s="48" t="n">
        <x:v>0</x:v>
      </x:c>
      <x:c r="P6" s="48" t="n">
        <x:v>0</x:v>
      </x:c>
      <x:c r="Q6" s="48" t="n">
        <x:v>0</x:v>
      </x:c>
      <x:c r="R6" s="48" t="n">
        <x:v>0</x:v>
      </x:c>
      <x:c r="S6" s="48" t="n">
        <x:v>0</x:v>
      </x:c>
      <x:c r="T6" s="19" t="n">
        <x:v>0</x:v>
      </x:c>
      <x:c r="U6" s="16" t="str"/>
      <x:c r="V6" s="57" t="str">
        <x:v>Kevin</x:v>
      </x:c>
      <x:c r="W6" s="57" t="str">
        <x:v>Kevin/萱萱</x:v>
      </x:c>
      <x:c r="X6" s="16" t="str">
        <x:v>强调运营/摄影与妆造分工</x:v>
      </x:c>
    </x:row>
    <x:row r="7">
      <x:c r="A7" s="16" t="str">
        <x:v>CT006</x:v>
      </x:c>
      <x:c r="B7" s="16" t="str">
        <x:v>我们想做一组不一样的新中式肖像</x:v>
      </x:c>
      <x:c r="C7" s="16" t="str">
        <x:v>品牌样片</x:v>
      </x:c>
      <x:c r="D7" s="16" t="str">
        <x:v>短视频/图文</x:v>
      </x:c>
      <x:c r="E7" s="16" t="str">
        <x:v>小红书</x:v>
      </x:c>
      <x:c r="F7" s="16" t="str">
        <x:v>华堂 · 人物企划</x:v>
      </x:c>
      <x:c r="G7" s="16" t="str">
        <x:v>国风/汉服爱好者</x:v>
      </x:c>
      <x:c r="H7" s="16" t="str">
        <x:v>东方骨架与现代表达</x:v>
      </x:c>
      <x:c r="I7" s="16" t="str">
        <x:v>选服装、饰品制作、妆造、拍摄、成片</x:v>
      </x:c>
      <x:c r="J7" s="16" t="str">
        <x:v>待整理</x:v>
      </x:c>
      <x:c r="K7" s="16" t="str">
        <x:v>待制作</x:v>
      </x:c>
      <x:c r="L7" s="45"/>
      <x:c r="M7" s="45"/>
      <x:c r="N7" s="48" t="n">
        <x:v>0</x:v>
      </x:c>
      <x:c r="O7" s="48" t="n">
        <x:v>0</x:v>
      </x:c>
      <x:c r="P7" s="48" t="n">
        <x:v>0</x:v>
      </x:c>
      <x:c r="Q7" s="48" t="n">
        <x:v>0</x:v>
      </x:c>
      <x:c r="R7" s="48" t="n">
        <x:v>0</x:v>
      </x:c>
      <x:c r="S7" s="48" t="n">
        <x:v>0</x:v>
      </x:c>
      <x:c r="T7" s="19" t="n">
        <x:v>0</x:v>
      </x:c>
      <x:c r="U7" s="16" t="str"/>
      <x:c r="V7" s="57" t="str">
        <x:v>Kevin</x:v>
      </x:c>
      <x:c r="W7" s="57" t="str">
        <x:v>Kevin/萱萱</x:v>
      </x:c>
      <x:c r="X7" s="16" t="str">
        <x:v>首批品牌样片之一</x:v>
      </x:c>
    </x:row>
    <x:row r="8">
      <x:c r="A8" s="16" t="str">
        <x:v>CT007</x:v>
      </x:c>
      <x:c r="B8" s="16" t="str">
        <x:v>她穿秀禾服，但我们没有做模板化中式妆</x:v>
      </x:c>
      <x:c r="C8" s="16" t="str">
        <x:v>新娘案例</x:v>
      </x:c>
      <x:c r="D8" s="16" t="str">
        <x:v>短视频/图文</x:v>
      </x:c>
      <x:c r="E8" s="16" t="str">
        <x:v>小红书</x:v>
      </x:c>
      <x:c r="F8" s="16" t="str">
        <x:v>华堂 · 新中式婚礼造型</x:v>
      </x:c>
      <x:c r="G8" s="16" t="str">
        <x:v>准新娘</x:v>
      </x:c>
      <x:c r="H8" s="16" t="str">
        <x:v>新中式差异化与设计逻辑</x:v>
      </x:c>
      <x:c r="I8" s="16" t="str">
        <x:v>服装、试妆、饰品、婚礼成片</x:v>
      </x:c>
      <x:c r="J8" s="16" t="str">
        <x:v>待整理</x:v>
      </x:c>
      <x:c r="K8" s="16" t="str">
        <x:v>待制作</x:v>
      </x:c>
      <x:c r="L8" s="45"/>
      <x:c r="M8" s="45"/>
      <x:c r="N8" s="48" t="n">
        <x:v>0</x:v>
      </x:c>
      <x:c r="O8" s="48" t="n">
        <x:v>0</x:v>
      </x:c>
      <x:c r="P8" s="48" t="n">
        <x:v>0</x:v>
      </x:c>
      <x:c r="Q8" s="48" t="n">
        <x:v>0</x:v>
      </x:c>
      <x:c r="R8" s="48" t="n">
        <x:v>0</x:v>
      </x:c>
      <x:c r="S8" s="48" t="n">
        <x:v>0</x:v>
      </x:c>
      <x:c r="T8" s="19" t="n">
        <x:v>0</x:v>
      </x:c>
      <x:c r="U8" s="16" t="str"/>
      <x:c r="V8" s="57" t="str">
        <x:v>Kevin</x:v>
      </x:c>
      <x:c r="W8" s="57" t="str">
        <x:v>萱萱/新娘</x:v>
      </x:c>
      <x:c r="X8" s="16" t="str">
        <x:v>需客户授权</x:v>
      </x:c>
    </x:row>
    <x:row r="9">
      <x:c r="A9" s="16" t="str">
        <x:v>CT008</x:v>
      </x:c>
      <x:c r="B9" s="16" t="str">
        <x:v>新娘试妆到底应该看什么？</x:v>
      </x:c>
      <x:c r="C9" s="16" t="str">
        <x:v>专业知识</x:v>
      </x:c>
      <x:c r="D9" s="16" t="str">
        <x:v>口播/清单</x:v>
      </x:c>
      <x:c r="E9" s="16" t="str">
        <x:v>小红书</x:v>
      </x:c>
      <x:c r="F9" s="16" t="str">
        <x:v>初见 · 新娘试妆</x:v>
      </x:c>
      <x:c r="G9" s="16" t="str">
        <x:v>准新娘</x:v>
      </x:c>
      <x:c r="H9" s="16" t="str">
        <x:v>实用避坑清单</x:v>
      </x:c>
      <x:c r="I9" s="16" t="str">
        <x:v>萱萱口播、试妆细节镜头</x:v>
      </x:c>
      <x:c r="J9" s="16" t="str">
        <x:v>待整理</x:v>
      </x:c>
      <x:c r="K9" s="16" t="str">
        <x:v>待制作</x:v>
      </x:c>
      <x:c r="L9" s="45"/>
      <x:c r="M9" s="45"/>
      <x:c r="N9" s="48" t="n">
        <x:v>0</x:v>
      </x:c>
      <x:c r="O9" s="48" t="n">
        <x:v>0</x:v>
      </x:c>
      <x:c r="P9" s="48" t="n">
        <x:v>0</x:v>
      </x:c>
      <x:c r="Q9" s="48" t="n">
        <x:v>0</x:v>
      </x:c>
      <x:c r="R9" s="48" t="n">
        <x:v>0</x:v>
      </x:c>
      <x:c r="S9" s="48" t="n">
        <x:v>0</x:v>
      </x:c>
      <x:c r="T9" s="19" t="n">
        <x:v>0</x:v>
      </x:c>
      <x:c r="U9" s="16" t="str"/>
      <x:c r="V9" s="57" t="str">
        <x:v>Kevin</x:v>
      </x:c>
      <x:c r="W9" s="57" t="str">
        <x:v>萱萱</x:v>
      </x:c>
      <x:c r="X9" s="16" t="str">
        <x:v>承接新娘咨询</x:v>
      </x:c>
    </x:row>
    <x:row r="10">
      <x:c r="A10" s="16" t="str">
        <x:v>CT009</x:v>
      </x:c>
      <x:c r="B10" s="16" t="str">
        <x:v>为什么有些人化浓妆反而不好看</x:v>
      </x:c>
      <x:c r="C10" s="16" t="str">
        <x:v>专业知识</x:v>
      </x:c>
      <x:c r="D10" s="16" t="str">
        <x:v>口播/图文</x:v>
      </x:c>
      <x:c r="E10" s="16" t="str">
        <x:v>小红书</x:v>
      </x:c>
      <x:c r="F10" s="16" t="str">
        <x:v>私人美妆体验课</x:v>
      </x:c>
      <x:c r="G10" s="16" t="str">
        <x:v>普通美妆用户</x:v>
      </x:c>
      <x:c r="H10" s="16" t="str">
        <x:v>反常识审美判断</x:v>
      </x:c>
      <x:c r="I10" s="16" t="str">
        <x:v>萱萱示范、不同妆面比较</x:v>
      </x:c>
      <x:c r="J10" s="16" t="str">
        <x:v>待整理</x:v>
      </x:c>
      <x:c r="K10" s="16" t="str">
        <x:v>待制作</x:v>
      </x:c>
      <x:c r="L10" s="45"/>
      <x:c r="M10" s="45"/>
      <x:c r="N10" s="48" t="n">
        <x:v>0</x:v>
      </x:c>
      <x:c r="O10" s="48" t="n">
        <x:v>0</x:v>
      </x:c>
      <x:c r="P10" s="48" t="n">
        <x:v>0</x:v>
      </x:c>
      <x:c r="Q10" s="48" t="n">
        <x:v>0</x:v>
      </x:c>
      <x:c r="R10" s="48" t="n">
        <x:v>0</x:v>
      </x:c>
      <x:c r="S10" s="48" t="n">
        <x:v>0</x:v>
      </x:c>
      <x:c r="T10" s="19" t="n">
        <x:v>0</x:v>
      </x:c>
      <x:c r="U10" s="16" t="str"/>
      <x:c r="V10" s="57" t="str">
        <x:v>Kevin</x:v>
      </x:c>
      <x:c r="W10" s="57" t="str">
        <x:v>萱萱</x:v>
      </x:c>
      <x:c r="X10" s="16" t="str">
        <x:v>建立技术可信度</x:v>
      </x:c>
    </x:row>
    <x:row r="11">
      <x:c r="A11" s="16" t="str">
        <x:v>CT010</x:v>
      </x:c>
      <x:c r="B11" s="16" t="str">
        <x:v>成都一环｜用专业相机自己拍一组照片是什么体验</x:v>
      </x:c>
      <x:c r="C11" s="16" t="str">
        <x:v>体验项目</x:v>
      </x:c>
      <x:c r="D11" s="16" t="str">
        <x:v>短视频/图文</x:v>
      </x:c>
      <x:c r="E11" s="16" t="str">
        <x:v>闲鱼/小红书</x:v>
      </x:c>
      <x:c r="F11" s="16" t="str">
        <x:v>一环自拍体验空间</x:v>
      </x:c>
      <x:c r="G11" s="16" t="str">
        <x:v>附近学生/情侣</x:v>
      </x:c>
      <x:c r="H11" s="16" t="str">
        <x:v>专业设备+低门槛体验</x:v>
      </x:c>
      <x:c r="I11" s="16" t="str">
        <x:v>设备、灯光、操作、顾客体验</x:v>
      </x:c>
      <x:c r="J11" s="16" t="str">
        <x:v>待整理</x:v>
      </x:c>
      <x:c r="K11" s="16" t="str">
        <x:v>待制作</x:v>
      </x:c>
      <x:c r="L11" s="45"/>
      <x:c r="M11" s="45"/>
      <x:c r="N11" s="48" t="n">
        <x:v>0</x:v>
      </x:c>
      <x:c r="O11" s="48" t="n">
        <x:v>0</x:v>
      </x:c>
      <x:c r="P11" s="48" t="n">
        <x:v>0</x:v>
      </x:c>
      <x:c r="Q11" s="48" t="n">
        <x:v>0</x:v>
      </x:c>
      <x:c r="R11" s="48" t="n">
        <x:v>0</x:v>
      </x:c>
      <x:c r="S11" s="48" t="n">
        <x:v>0</x:v>
      </x:c>
      <x:c r="T11" s="19" t="n">
        <x:v>0</x:v>
      </x:c>
      <x:c r="U11" s="16" t="str"/>
      <x:c r="V11" s="57" t="str">
        <x:v>Kevin</x:v>
      </x:c>
      <x:c r="W11" s="57" t="str">
        <x:v>Kevin/萱萱</x:v>
      </x:c>
      <x:c r="X11" s="16" t="str">
        <x:v>设备就绪后发布</x:v>
      </x:c>
    </x:row>
    <x:row r="12">
      <x:c r="A12" s="16" t="str">
        <x:v>CT011</x:v>
      </x:c>
      <x:c r="B12" s="16" t="str">
        <x:v>一个东方发饰从手作台到人物造型</x:v>
      </x:c>
      <x:c r="C12" s="16" t="str">
        <x:v>幕后过程</x:v>
      </x:c>
      <x:c r="D12" s="16" t="str">
        <x:v>短视频</x:v>
      </x:c>
      <x:c r="E12" s="16" t="str">
        <x:v>小红书</x:v>
      </x:c>
      <x:c r="F12" s="16" t="str">
        <x:v>东方饰品 / 礼服租赁</x:v>
      </x:c>
      <x:c r="G12" s="16" t="str">
        <x:v>国风/婚礼用户</x:v>
      </x:c>
      <x:c r="H12" s="16" t="str">
        <x:v>手作细节与独特性</x:v>
      </x:c>
      <x:c r="I12" s="16" t="str">
        <x:v>制作过程、搭配、人物成片</x:v>
      </x:c>
      <x:c r="J12" s="16" t="str">
        <x:v>待整理</x:v>
      </x:c>
      <x:c r="K12" s="16" t="str">
        <x:v>待制作</x:v>
      </x:c>
      <x:c r="L12" s="45"/>
      <x:c r="M12" s="45"/>
      <x:c r="N12" s="48" t="n">
        <x:v>0</x:v>
      </x:c>
      <x:c r="O12" s="48" t="n">
        <x:v>0</x:v>
      </x:c>
      <x:c r="P12" s="48" t="n">
        <x:v>0</x:v>
      </x:c>
      <x:c r="Q12" s="48" t="n">
        <x:v>0</x:v>
      </x:c>
      <x:c r="R12" s="48" t="n">
        <x:v>0</x:v>
      </x:c>
      <x:c r="S12" s="48" t="n">
        <x:v>0</x:v>
      </x:c>
      <x:c r="T12" s="19" t="n">
        <x:v>0</x:v>
      </x:c>
      <x:c r="U12" s="16" t="str"/>
      <x:c r="V12" s="57" t="str">
        <x:v>Kevin</x:v>
      </x:c>
      <x:c r="W12" s="57" t="str">
        <x:v>萱萱</x:v>
      </x:c>
      <x:c r="X12" s="16" t="str">
        <x:v>强化手作区差异化</x:v>
      </x:c>
    </x:row>
    <x:row r="13">
      <x:c r="A13" s="16" t="str">
        <x:v>CT012</x:v>
      </x:c>
      <x:c r="B13" s="16" t="str">
        <x:v>情侣一起开妆造工作室第1个月，我们学到什么</x:v>
      </x:c>
      <x:c r="C13" s="16" t="str">
        <x:v>情侣创业</x:v>
      </x:c>
      <x:c r="D13" s="16" t="str">
        <x:v>短视频/图文</x:v>
      </x:c>
      <x:c r="E13" s="16" t="str">
        <x:v>小红书</x:v>
      </x:c>
      <x:c r="F13" s="16" t="str">
        <x:v>品牌故事</x:v>
      </x:c>
      <x:c r="G13" s="16" t="str">
        <x:v>创业/本地用户</x:v>
      </x:c>
      <x:c r="H13" s="16" t="str">
        <x:v>真实复盘与陪伴感</x:v>
      </x:c>
      <x:c r="I13" s="16" t="str">
        <x:v>两人对谈、空间、订单与幕后</x:v>
      </x:c>
      <x:c r="J13" s="16" t="str">
        <x:v>待整理</x:v>
      </x:c>
      <x:c r="K13" s="16" t="str">
        <x:v>待制作</x:v>
      </x:c>
      <x:c r="L13" s="45"/>
      <x:c r="M13" s="45"/>
      <x:c r="N13" s="48" t="n">
        <x:v>0</x:v>
      </x:c>
      <x:c r="O13" s="48" t="n">
        <x:v>0</x:v>
      </x:c>
      <x:c r="P13" s="48" t="n">
        <x:v>0</x:v>
      </x:c>
      <x:c r="Q13" s="48" t="n">
        <x:v>0</x:v>
      </x:c>
      <x:c r="R13" s="48" t="n">
        <x:v>0</x:v>
      </x:c>
      <x:c r="S13" s="48" t="n">
        <x:v>0</x:v>
      </x:c>
      <x:c r="T13" s="19" t="n">
        <x:v>0</x:v>
      </x:c>
      <x:c r="U13" s="16" t="str"/>
      <x:c r="V13" s="57" t="str">
        <x:v>Kevin</x:v>
      </x:c>
      <x:c r="W13" s="57" t="str">
        <x:v>Kevin/萱萱</x:v>
      </x:c>
      <x:c r="X13" s="16" t="str">
        <x:v>月底复盘栏目</x:v>
      </x:c>
    </x:row>
    <x:row r="14">
      <x:c r="A14" s="16" t="str">
        <x:v>CT013</x:v>
      </x:c>
      <x:c r="B14" s="16" t="str">
        <x:v>单妆和妆发到底差在哪里？</x:v>
      </x:c>
      <x:c r="C14" s="16" t="str">
        <x:v>专业知识</x:v>
      </x:c>
      <x:c r="D14" s="16" t="str">
        <x:v>口播/图文</x:v>
      </x:c>
      <x:c r="E14" s="16" t="str">
        <x:v>小红书/闲鱼</x:v>
      </x:c>
      <x:c r="F14" s="16" t="str">
        <x:v>初见 · 单妆服务 / 初见 · 日常妆发</x:v>
      </x:c>
      <x:c r="G14" s="16" t="str">
        <x:v>临时活动、约会、聚会用户</x:v>
      </x:c>
      <x:c r="H14" s="16" t="str">
        <x:v>快速讲清服务差异，降低询价成本</x:v>
      </x:c>
      <x:c r="I14" s="16" t="str">
        <x:v>萱萱口播、单妆和妆发完成效果对比</x:v>
      </x:c>
      <x:c r="J14" s="16" t="str">
        <x:v>待整理</x:v>
      </x:c>
      <x:c r="K14" s="16" t="str">
        <x:v>待制作</x:v>
      </x:c>
      <x:c r="L14" s="45"/>
      <x:c r="M14" s="45"/>
      <x:c r="N14" s="48" t="n">
        <x:v>0</x:v>
      </x:c>
      <x:c r="O14" s="48" t="n">
        <x:v>0</x:v>
      </x:c>
      <x:c r="P14" s="48" t="n">
        <x:v>0</x:v>
      </x:c>
      <x:c r="Q14" s="48" t="n">
        <x:v>0</x:v>
      </x:c>
      <x:c r="R14" s="48" t="n">
        <x:v>0</x:v>
      </x:c>
      <x:c r="S14" s="48" t="n">
        <x:v>0</x:v>
      </x:c>
      <x:c r="T14" s="19" t="n">
        <x:v>0</x:v>
      </x:c>
      <x:c r="U14" s="16" t="str"/>
      <x:c r="V14" s="57" t="str">
        <x:v>Kevin</x:v>
      </x:c>
      <x:c r="W14" s="57" t="str">
        <x:v>萱萱</x:v>
      </x:c>
      <x:c r="X14" s="16" t="str">
        <x:v>明确两种商品均不含摄影</x:v>
      </x:c>
    </x:row>
    <x:row r="15">
      <x:c r="A15" s="17" t="str">
        <x:v>CT014</x:v>
      </x:c>
      <x:c r="B15" s="17" t="str">
        <x:v>约会、年会、汉服、婚礼亲友，怎么选妆造服务？</x:v>
      </x:c>
      <x:c r="C15" s="17" t="str">
        <x:v>商品指南</x:v>
      </x:c>
      <x:c r="D15" s="17" t="str">
        <x:v>图文/短视频</x:v>
      </x:c>
      <x:c r="E15" s="17" t="str">
        <x:v>小红书/闲鱼</x:v>
      </x:c>
      <x:c r="F15" s="17" t="str">
        <x:v>单妆与妆发产品线</x:v>
      </x:c>
      <x:c r="G15" s="17" t="str">
        <x:v>日常活动、国风活动及婚礼亲友用户</x:v>
      </x:c>
      <x:c r="H15" s="17" t="str">
        <x:v>用场景对照表帮助客户快速选择商品</x:v>
      </x:c>
      <x:c r="I15" s="17" t="str">
        <x:v>四类场景示例、妆面和发型对比、价格区间</x:v>
      </x:c>
      <x:c r="J15" s="17" t="str">
        <x:v>待整理</x:v>
      </x:c>
      <x:c r="K15" s="17" t="str">
        <x:v>待制作</x:v>
      </x:c>
      <x:c r="L15" s="46"/>
      <x:c r="M15" s="46"/>
      <x:c r="N15" s="49" t="n">
        <x:v>0</x:v>
      </x:c>
      <x:c r="O15" s="49" t="n">
        <x:v>0</x:v>
      </x:c>
      <x:c r="P15" s="49" t="n">
        <x:v>0</x:v>
      </x:c>
      <x:c r="Q15" s="49" t="n">
        <x:v>0</x:v>
      </x:c>
      <x:c r="R15" s="49" t="n">
        <x:v>0</x:v>
      </x:c>
      <x:c r="S15" s="49" t="n">
        <x:v>0</x:v>
      </x:c>
      <x:c r="T15" s="20" t="n">
        <x:v>0</x:v>
      </x:c>
      <x:c r="U15" s="17" t="str"/>
      <x:c r="V15" s="58" t="str">
        <x:v>Kevin</x:v>
      </x:c>
      <x:c r="W15" s="58" t="str">
        <x:v>Kevin/萱萱</x:v>
      </x:c>
      <x:c r="X15" s="17" t="str">
        <x:v>结尾引导发送日期、场景和参考图</x:v>
      </x:c>
    </x:row>
  </x:sheetData>
  <x:conditionalFormatting sqref="K2:K15">
    <x:cfRule type="containsText" dxfId="12" priority="1" operator="containsText" text="销售中"/>
    <x:cfRule type="containsText" dxfId="13" priority="2" operator="containsText" text="测试"/>
    <x:cfRule type="containsText" dxfId="14" priority="3" operator="containsText" text="规划"/>
    <x:cfRule type="containsText" dxfId="15" priority="4" operator="containsText" text="停用"/>
  </x:conditionalFormatting>
  <x:dataValidations count="2">
    <x:dataValidation type="list" sqref="K2:K15">
      <x:formula1>"待制作,制作中,待审核,待发布,已发布,暂停"</x:formula1>
    </x:dataValidation>
    <x:dataValidation type="list" sqref="E2:E15">
      <x:formula1>"小红书,闲鱼,小红书/闲鱼,抖音,微信私域,多平台"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02ca084bb648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6" hidden="0" customWidth="1"/>
    <x:col min="4" max="4" width="22" hidden="0" customWidth="1"/>
    <x:col min="5" max="5" width="11" hidden="0" customWidth="1"/>
    <x:col min="6" max="6" width="11" hidden="0" customWidth="1"/>
    <x:col min="7" max="7" width="11" hidden="0" customWidth="1"/>
    <x:col min="8" max="8" width="12" hidden="0" customWidth="1"/>
    <x:col min="9" max="9" width="10" hidden="0" customWidth="1"/>
    <x:col min="10" max="10" width="12" hidden="0" customWidth="1"/>
    <x:col min="11" max="11" width="14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  <x:col min="17" max="17" width="13" hidden="0" customWidth="1"/>
    <x:col min="18" max="18" width="15" hidden="0" customWidth="1"/>
    <x:col min="19" max="19" width="14" hidden="0" customWidth="1"/>
    <x:col min="20" max="20" width="12" hidden="0" customWidth="1"/>
    <x:col min="21" max="21" width="30" hidden="0" customWidth="1"/>
  </x:cols>
  <x:sheetData>
    <x:row r="1" ht="34" customHeight="1">
      <x:c r="A1" s="7" t="str">
        <x:v>日期</x:v>
      </x:c>
      <x:c r="B1" s="7" t="str">
        <x:v>平台</x:v>
      </x:c>
      <x:c r="C1" s="7" t="str">
        <x:v>内容/活动</x:v>
      </x:c>
      <x:c r="D1" s="7" t="str">
        <x:v>对应商品</x:v>
      </x:c>
      <x:c r="E1" s="7" t="str">
        <x:v>曝光</x:v>
      </x:c>
      <x:c r="F1" s="7" t="str">
        <x:v>互动</x:v>
      </x:c>
      <x:c r="G1" s="7" t="str">
        <x:v>收藏</x:v>
      </x:c>
      <x:c r="H1" s="7" t="str">
        <x:v>私信咨询</x:v>
      </x:c>
      <x:c r="I1" s="7" t="str">
        <x:v>预约</x:v>
      </x:c>
      <x:c r="J1" s="7" t="str">
        <x:v>成交订单</x:v>
      </x:c>
      <x:c r="K1" s="7" t="str">
        <x:v>成交金额</x:v>
      </x:c>
      <x:c r="L1" s="7" t="str">
        <x:v>推广费</x:v>
      </x:c>
      <x:c r="M1" s="7" t="str">
        <x:v>场地费</x:v>
      </x:c>
      <x:c r="N1" s="7" t="str">
        <x:v>合作成本</x:v>
      </x:c>
      <x:c r="O1" s="7" t="str">
        <x:v>其他成本</x:v>
      </x:c>
      <x:c r="P1" s="7" t="str">
        <x:v>总可变成本</x:v>
      </x:c>
      <x:c r="Q1" s="7" t="str">
        <x:v>咨询率</x:v>
      </x:c>
      <x:c r="R1" s="7" t="str">
        <x:v>咨询成交率</x:v>
      </x:c>
      <x:c r="S1" s="7" t="str">
        <x:v>投入产出比</x:v>
      </x:c>
      <x:c r="T1" s="7" t="str">
        <x:v>新增微信</x:v>
      </x:c>
      <x:c r="U1" s="7" t="str">
        <x:v>备注</x:v>
      </x:c>
    </x:row>
    <x:row r="2">
      <x:c r="A2" s="41" t="n">
        <x:v>46217</x:v>
      </x:c>
      <x:c r="B2" s="40" t="str">
        <x:v>小红书</x:v>
      </x:c>
      <x:c r="C2" s="40" t="str">
        <x:v>示例-请删除</x:v>
      </x:c>
      <x:c r="D2" s="40" t="str">
        <x:v>臻选 · 私人肖像</x:v>
      </x:c>
      <x:c r="E2" s="53" t="n">
        <x:v>1000</x:v>
      </x:c>
      <x:c r="F2" s="53" t="n">
        <x:v>50</x:v>
      </x:c>
      <x:c r="G2" s="53" t="n">
        <x:v>20</x:v>
      </x:c>
      <x:c r="H2" s="53" t="n">
        <x:v>8</x:v>
      </x:c>
      <x:c r="I2" s="53" t="n">
        <x:v>3</x:v>
      </x:c>
      <x:c r="J2" s="53" t="n">
        <x:v>1</x:v>
      </x:c>
      <x:c r="K2" s="42" t="n">
        <x:v>1299</x:v>
      </x:c>
      <x:c r="L2" s="42" t="n">
        <x:v>0</x:v>
      </x:c>
      <x:c r="M2" s="42" t="n">
        <x:v>0</x:v>
      </x:c>
      <x:c r="N2" s="42" t="n">
        <x:v>0</x:v>
      </x:c>
      <x:c r="O2" s="42" t="n">
        <x:v>0</x:v>
      </x:c>
      <x:c r="P2" s="42" t="n">
        <x:f>SUM(L2:O2)</x:f>
        <x:v>0</x:v>
      </x:c>
      <x:c r="Q2" s="54" t="n">
        <x:f>IFERROR(H2/E2,0)</x:f>
        <x:v>0.008</x:v>
      </x:c>
      <x:c r="R2" s="54" t="n">
        <x:f>IFERROR(J2/H2,0)</x:f>
        <x:v>0.125</x:v>
      </x:c>
      <x:c r="S2" s="55" t="n">
        <x:f>IFERROR(K2/P2,0)</x:f>
        <x:v>0</x:v>
      </x:c>
      <x:c r="T2" s="40" t="n">
        <x:v>5</x:v>
      </x:c>
      <x:c r="U2" s="40" t="str">
        <x:v>示例行；真实运营后删除</x:v>
      </x:c>
    </x:row>
  </x:sheetData>
  <x:dataValidations count="1">
    <x:dataValidation type="list" sqref="B2">
      <x:formula1>"小红书,闲鱼,微信私域,美团/点评,抖音,淘宝,其他"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a43d0b069b445b"/>
  </x:tableParts>
</x:worksheet>
</file>